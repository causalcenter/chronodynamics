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elia\OneDrive - Université Paris-Saclay\14_Articles\AI on the simu\Dossier_03_06_2024\Dossier_03_06_2024\"/>
    </mc:Choice>
  </mc:AlternateContent>
  <xr:revisionPtr revIDLastSave="0" documentId="13_ncr:1_{8A0333D3-78D2-44CF-934B-70B896FF7E58}" xr6:coauthVersionLast="47" xr6:coauthVersionMax="47" xr10:uidLastSave="{00000000-0000-0000-0000-000000000000}"/>
  <bookViews>
    <workbookView xWindow="-120" yWindow="-16320" windowWidth="29040" windowHeight="15720" tabRatio="597" firstSheet="2" activeTab="3" xr2:uid="{00000000-000D-0000-FFFF-FFFF00000000}"/>
  </bookViews>
  <sheets>
    <sheet name="Old Meas. without Drift Comp" sheetId="5" r:id="rId1"/>
    <sheet name="Old Meas. with Drift Comp" sheetId="6" r:id="rId2"/>
    <sheet name="New Meas. without Drift Comp." sheetId="4" r:id="rId3"/>
    <sheet name="New Meas. with Drift Comp." sheetId="2" r:id="rId4"/>
    <sheet name="Constan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5" i="2"/>
  <c r="W7" i="2"/>
  <c r="W9" i="2"/>
  <c r="W11" i="2"/>
  <c r="W13" i="2"/>
  <c r="W15" i="2"/>
  <c r="W17" i="2"/>
  <c r="W21" i="2"/>
  <c r="W22" i="2"/>
  <c r="W23" i="2"/>
  <c r="W24" i="2"/>
  <c r="W25" i="2"/>
  <c r="W26" i="2"/>
  <c r="W27" i="2"/>
  <c r="W28" i="2"/>
  <c r="W29" i="2"/>
  <c r="W31" i="2"/>
  <c r="W19" i="2"/>
  <c r="B4" i="3" l="1"/>
  <c r="T7" i="5" l="1"/>
  <c r="U19" i="6"/>
  <c r="V16" i="6"/>
  <c r="T14" i="6"/>
  <c r="U11" i="6"/>
  <c r="V8" i="6"/>
  <c r="T6" i="6"/>
  <c r="U3" i="6"/>
  <c r="V6" i="5"/>
  <c r="V14" i="5"/>
  <c r="V2" i="5"/>
  <c r="U10" i="5"/>
  <c r="U18" i="5"/>
  <c r="T5" i="5"/>
  <c r="T14" i="5"/>
  <c r="T3" i="4"/>
  <c r="V9" i="6"/>
  <c r="U7" i="5"/>
  <c r="T11" i="5"/>
  <c r="V13" i="5"/>
  <c r="U9" i="5"/>
  <c r="U17" i="5"/>
  <c r="T21" i="5"/>
  <c r="V21" i="6"/>
  <c r="T19" i="6"/>
  <c r="U16" i="6"/>
  <c r="V13" i="6"/>
  <c r="T11" i="6"/>
  <c r="U8" i="6"/>
  <c r="V5" i="6"/>
  <c r="T3" i="6"/>
  <c r="V7" i="5"/>
  <c r="V15" i="5"/>
  <c r="U3" i="5"/>
  <c r="U11" i="5"/>
  <c r="U19" i="5"/>
  <c r="T6" i="5"/>
  <c r="T15" i="5"/>
  <c r="T16" i="5"/>
  <c r="U12" i="6"/>
  <c r="V11" i="5"/>
  <c r="U21" i="6"/>
  <c r="V18" i="6"/>
  <c r="T16" i="6"/>
  <c r="U13" i="6"/>
  <c r="V10" i="6"/>
  <c r="T8" i="6"/>
  <c r="U5" i="6"/>
  <c r="V2" i="6"/>
  <c r="V8" i="5"/>
  <c r="V16" i="5"/>
  <c r="U4" i="5"/>
  <c r="U12" i="5"/>
  <c r="U20" i="5"/>
  <c r="T8" i="5"/>
  <c r="T15" i="6"/>
  <c r="U15" i="5"/>
  <c r="T21" i="6"/>
  <c r="U18" i="6"/>
  <c r="V15" i="6"/>
  <c r="T13" i="6"/>
  <c r="U10" i="6"/>
  <c r="V7" i="6"/>
  <c r="T5" i="6"/>
  <c r="U2" i="6"/>
  <c r="V9" i="5"/>
  <c r="V17" i="5"/>
  <c r="U5" i="5"/>
  <c r="U13" i="5"/>
  <c r="U21" i="5"/>
  <c r="T9" i="5"/>
  <c r="T17" i="5"/>
  <c r="V17" i="6"/>
  <c r="V19" i="5"/>
  <c r="T2" i="5"/>
  <c r="T19" i="5"/>
  <c r="V21" i="5"/>
  <c r="T4" i="5"/>
  <c r="V20" i="6"/>
  <c r="T18" i="6"/>
  <c r="U15" i="6"/>
  <c r="V12" i="6"/>
  <c r="T10" i="6"/>
  <c r="U7" i="6"/>
  <c r="V4" i="6"/>
  <c r="T2" i="6"/>
  <c r="V10" i="5"/>
  <c r="V18" i="5"/>
  <c r="U6" i="5"/>
  <c r="U14" i="5"/>
  <c r="U2" i="5"/>
  <c r="T10" i="5"/>
  <c r="T18" i="5"/>
  <c r="U20" i="6"/>
  <c r="T7" i="6"/>
  <c r="U4" i="6"/>
  <c r="V3" i="5"/>
  <c r="T20" i="6"/>
  <c r="U17" i="6"/>
  <c r="V14" i="6"/>
  <c r="T12" i="6"/>
  <c r="U9" i="6"/>
  <c r="V6" i="6"/>
  <c r="T4" i="6"/>
  <c r="V4" i="5"/>
  <c r="V12" i="5"/>
  <c r="V20" i="5"/>
  <c r="U8" i="5"/>
  <c r="U16" i="5"/>
  <c r="T3" i="5"/>
  <c r="T12" i="5"/>
  <c r="T20" i="5"/>
  <c r="V19" i="6"/>
  <c r="T17" i="6"/>
  <c r="U14" i="6"/>
  <c r="V11" i="6"/>
  <c r="T9" i="6"/>
  <c r="U6" i="6"/>
  <c r="V3" i="6"/>
  <c r="V5" i="5"/>
  <c r="T13" i="5"/>
  <c r="V31" i="4"/>
  <c r="T28" i="4"/>
  <c r="U25" i="4"/>
  <c r="V22" i="4"/>
  <c r="T20" i="4"/>
  <c r="U17" i="4"/>
  <c r="V14" i="4"/>
  <c r="T12" i="4"/>
  <c r="U9" i="4"/>
  <c r="V6" i="4"/>
  <c r="T4" i="4"/>
  <c r="U14" i="4"/>
  <c r="T9" i="4"/>
  <c r="V3" i="4"/>
  <c r="T14" i="4"/>
  <c r="T6" i="4"/>
  <c r="U24" i="4"/>
  <c r="U16" i="4"/>
  <c r="V13" i="4"/>
  <c r="V5" i="4"/>
  <c r="U26" i="4"/>
  <c r="V7" i="4"/>
  <c r="U23" i="4"/>
  <c r="V17" i="4"/>
  <c r="T7" i="4"/>
  <c r="U31" i="4"/>
  <c r="V27" i="4"/>
  <c r="T25" i="4"/>
  <c r="U22" i="4"/>
  <c r="V19" i="4"/>
  <c r="T17" i="4"/>
  <c r="V11" i="4"/>
  <c r="U6" i="4"/>
  <c r="U19" i="4"/>
  <c r="V8" i="4"/>
  <c r="T27" i="4"/>
  <c r="T19" i="4"/>
  <c r="T11" i="4"/>
  <c r="T21" i="4"/>
  <c r="U10" i="4"/>
  <c r="V20" i="4"/>
  <c r="T10" i="4"/>
  <c r="T23" i="4"/>
  <c r="T15" i="4"/>
  <c r="T31" i="4"/>
  <c r="U27" i="4"/>
  <c r="V24" i="4"/>
  <c r="T22" i="4"/>
  <c r="V16" i="4"/>
  <c r="U11" i="4"/>
  <c r="U3" i="4"/>
  <c r="V21" i="4"/>
  <c r="U8" i="4"/>
  <c r="V23" i="4"/>
  <c r="T26" i="4"/>
  <c r="U15" i="4"/>
  <c r="V4" i="4"/>
  <c r="U28" i="4"/>
  <c r="U4" i="4"/>
  <c r="V29" i="4"/>
  <c r="V12" i="4"/>
  <c r="U20" i="4"/>
  <c r="V9" i="4"/>
  <c r="U29" i="4"/>
  <c r="V26" i="4"/>
  <c r="T24" i="4"/>
  <c r="U21" i="4"/>
  <c r="V18" i="4"/>
  <c r="T16" i="4"/>
  <c r="U13" i="4"/>
  <c r="V10" i="4"/>
  <c r="T8" i="4"/>
  <c r="U5" i="4"/>
  <c r="T29" i="4"/>
  <c r="U18" i="4"/>
  <c r="V15" i="4"/>
  <c r="T13" i="4"/>
  <c r="T5" i="4"/>
  <c r="V28" i="4"/>
  <c r="T18" i="4"/>
  <c r="U7" i="4"/>
  <c r="V25" i="4"/>
  <c r="U12" i="4"/>
  <c r="U31" i="2"/>
  <c r="V27" i="2"/>
  <c r="V21" i="2"/>
  <c r="U18" i="2"/>
  <c r="V15" i="2"/>
  <c r="T13" i="2"/>
  <c r="U10" i="2"/>
  <c r="V7" i="2"/>
  <c r="T5" i="2"/>
  <c r="U29" i="2"/>
  <c r="T23" i="2"/>
  <c r="V16" i="2"/>
  <c r="T6" i="2"/>
  <c r="U23" i="2"/>
  <c r="T27" i="2"/>
  <c r="V22" i="2"/>
  <c r="V8" i="2"/>
  <c r="U16" i="2"/>
  <c r="T3" i="2"/>
  <c r="T31" i="2"/>
  <c r="V18" i="2"/>
  <c r="T16" i="2"/>
  <c r="T8" i="2"/>
  <c r="T18" i="2"/>
  <c r="T29" i="2"/>
  <c r="U27" i="2"/>
  <c r="U20" i="2"/>
  <c r="T15" i="2"/>
  <c r="V9" i="2"/>
  <c r="T7" i="2"/>
  <c r="U4" i="2"/>
  <c r="V28" i="2"/>
  <c r="U24" i="2"/>
  <c r="U19" i="2"/>
  <c r="U11" i="2"/>
  <c r="T22" i="2"/>
  <c r="T19" i="2"/>
  <c r="T11" i="2"/>
  <c r="V5" i="2"/>
  <c r="U21" i="2"/>
  <c r="U13" i="2"/>
  <c r="U5" i="2"/>
  <c r="V31" i="2"/>
  <c r="V20" i="2"/>
  <c r="U15" i="2"/>
  <c r="T10" i="2"/>
  <c r="V4" i="2"/>
  <c r="T26" i="2"/>
  <c r="V17" i="2"/>
  <c r="T25" i="2"/>
  <c r="U26" i="2"/>
  <c r="V24" i="2"/>
  <c r="T20" i="2"/>
  <c r="U17" i="2"/>
  <c r="V14" i="2"/>
  <c r="T12" i="2"/>
  <c r="U9" i="2"/>
  <c r="V6" i="2"/>
  <c r="T4" i="2"/>
  <c r="U28" i="2"/>
  <c r="T14" i="2"/>
  <c r="U3" i="2"/>
  <c r="T21" i="2"/>
  <c r="V13" i="2"/>
  <c r="U8" i="2"/>
  <c r="U22" i="2"/>
  <c r="V10" i="2"/>
  <c r="V29" i="2"/>
  <c r="V26" i="2"/>
  <c r="V12" i="2"/>
  <c r="U7" i="2"/>
  <c r="V25" i="2"/>
  <c r="U12" i="2"/>
  <c r="T24" i="2"/>
  <c r="U25" i="2"/>
  <c r="V23" i="2"/>
  <c r="V19" i="2"/>
  <c r="T17" i="2"/>
  <c r="U14" i="2"/>
  <c r="V11" i="2"/>
  <c r="T9" i="2"/>
  <c r="U6" i="2"/>
  <c r="V3" i="2"/>
  <c r="T28" i="2"/>
</calcChain>
</file>

<file path=xl/sharedStrings.xml><?xml version="1.0" encoding="utf-8"?>
<sst xmlns="http://schemas.openxmlformats.org/spreadsheetml/2006/main" count="291" uniqueCount="58">
  <si>
    <t>Run</t>
  </si>
  <si>
    <t>Date</t>
  </si>
  <si>
    <t>Npoints</t>
  </si>
  <si>
    <t xml:space="preserve">SNR </t>
  </si>
  <si>
    <t>SNR min</t>
  </si>
  <si>
    <t>SNR max</t>
  </si>
  <si>
    <t>yes</t>
  </si>
  <si>
    <t>no</t>
  </si>
  <si>
    <t>Ratio File ?</t>
  </si>
  <si>
    <t>Sensitivity (g)</t>
  </si>
  <si>
    <t>S min (g)</t>
  </si>
  <si>
    <t>S max (g)</t>
  </si>
  <si>
    <t>Offset compensation ?</t>
  </si>
  <si>
    <t>?</t>
  </si>
  <si>
    <t xml:space="preserve">Tint (ms) </t>
  </si>
  <si>
    <t>Tint (ms)</t>
  </si>
  <si>
    <t>0.0022</t>
  </si>
  <si>
    <t>0.0140</t>
  </si>
  <si>
    <t>g</t>
  </si>
  <si>
    <t>Symbol</t>
  </si>
  <si>
    <t>Value</t>
  </si>
  <si>
    <t>Unit</t>
  </si>
  <si>
    <t>m/s^2</t>
  </si>
  <si>
    <t>lambda</t>
  </si>
  <si>
    <t>m</t>
  </si>
  <si>
    <t>k_eff</t>
  </si>
  <si>
    <t>rad/m</t>
  </si>
  <si>
    <t>Offset Noise</t>
  </si>
  <si>
    <t>sigma_O min</t>
  </si>
  <si>
    <t>sigma_O max</t>
  </si>
  <si>
    <t>Offset</t>
  </si>
  <si>
    <t>Amplitude</t>
  </si>
  <si>
    <t>A min</t>
  </si>
  <si>
    <t>A max</t>
  </si>
  <si>
    <t>O min</t>
  </si>
  <si>
    <t>O max</t>
  </si>
  <si>
    <t>1, 235</t>
  </si>
  <si>
    <t>Runs to delete</t>
  </si>
  <si>
    <t>Npoints (before deletion)</t>
  </si>
  <si>
    <t>1,32,37,85,86,87,131,134,135,136,158,174,177,178,179,201,233,269,270,305,306,307,308</t>
  </si>
  <si>
    <t>1,98, 240,298</t>
  </si>
  <si>
    <t>1, 199-299</t>
  </si>
  <si>
    <t>1, 79-91, 293-299</t>
  </si>
  <si>
    <t>1,55, 100, 101, 213-335, 372-378, 394, 395, 435</t>
  </si>
  <si>
    <t>1-276, 344-346, 370-372, 409, 410, 412, 428, 567</t>
  </si>
  <si>
    <t>1, 3, 4, 92-205, 403-563</t>
  </si>
  <si>
    <t>1, 162-166, 185-242, 340-397</t>
  </si>
  <si>
    <t>1, 170, 199</t>
  </si>
  <si>
    <t>1, 259, 260</t>
  </si>
  <si>
    <t>1, 187-196, 347-350</t>
  </si>
  <si>
    <t>1, 153-155</t>
  </si>
  <si>
    <t>1, 41-69, 139-142, 198-210, 380-387</t>
  </si>
  <si>
    <t>1, 96, 97, 230, 274-318</t>
  </si>
  <si>
    <t>1, 73, 131, 301, 302</t>
  </si>
  <si>
    <t>Offset comp. ?</t>
  </si>
  <si>
    <t>1, 265</t>
  </si>
  <si>
    <t>INF</t>
  </si>
  <si>
    <t>Sigma_O 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</si>
</sst>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11" fontId="0" fillId="0" borderId="0" xfId="0" applyNumberFormat="1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1" fontId="3" fillId="4" borderId="0" xfId="0" applyNumberFormat="1" applyFont="1" applyFill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1" fontId="4" fillId="5" borderId="0" xfId="0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Meas. with Drift Comp.'!$W$1</c:f>
              <c:strCache>
                <c:ptCount val="1"/>
                <c:pt idx="0">
                  <c:v>Sigma_O /A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Meas. with Drift Comp.'!$A$2:$A$25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</c:numCache>
            </c:numRef>
          </c:xVal>
          <c:yVal>
            <c:numRef>
              <c:f>'New Meas. with Drift Comp.'!$W$2:$W$25</c:f>
              <c:numCache>
                <c:formatCode>General</c:formatCode>
                <c:ptCount val="24"/>
                <c:pt idx="1">
                  <c:v>2.3381294964028777E-2</c:v>
                </c:pt>
                <c:pt idx="3">
                  <c:v>3.2590051457975985E-2</c:v>
                </c:pt>
                <c:pt idx="5">
                  <c:v>2.3952095808383232E-2</c:v>
                </c:pt>
                <c:pt idx="7">
                  <c:v>3.1413612565445025E-2</c:v>
                </c:pt>
                <c:pt idx="9">
                  <c:v>3.1941031941031942E-2</c:v>
                </c:pt>
                <c:pt idx="11">
                  <c:v>0.12690355329949241</c:v>
                </c:pt>
                <c:pt idx="13">
                  <c:v>5.50098231827112E-2</c:v>
                </c:pt>
                <c:pt idx="15">
                  <c:v>0.15168539325842698</c:v>
                </c:pt>
                <c:pt idx="17">
                  <c:v>6.3768115942028983E-2</c:v>
                </c:pt>
                <c:pt idx="19">
                  <c:v>9.2250922509225092E-2</c:v>
                </c:pt>
                <c:pt idx="20">
                  <c:v>0.19083969465648853</c:v>
                </c:pt>
                <c:pt idx="21">
                  <c:v>0.31176470588235294</c:v>
                </c:pt>
                <c:pt idx="22">
                  <c:v>0.33333333333333337</c:v>
                </c:pt>
                <c:pt idx="23">
                  <c:v>0.390625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E-42CB-B8BC-E769EE66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144207"/>
        <c:axId val="994157647"/>
      </c:scatterChart>
      <c:valAx>
        <c:axId val="99414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157647"/>
        <c:crosses val="autoZero"/>
        <c:crossBetween val="midCat"/>
      </c:valAx>
      <c:valAx>
        <c:axId val="9941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14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'New Meas. with Drift Comp.'!$Q$1</c:f>
              <c:strCache>
                <c:ptCount val="1"/>
                <c:pt idx="0">
                  <c:v>SNR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Meas. with Drift Comp.'!$A$2:$A$25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</c:numCache>
            </c:numRef>
          </c:xVal>
          <c:yVal>
            <c:numRef>
              <c:f>'New Meas. with Drift Comp.'!$Q$2:$Q$25</c:f>
              <c:numCache>
                <c:formatCode>General</c:formatCode>
                <c:ptCount val="24"/>
                <c:pt idx="1">
                  <c:v>41.4</c:v>
                </c:pt>
                <c:pt idx="3">
                  <c:v>31</c:v>
                </c:pt>
                <c:pt idx="5">
                  <c:v>40.8857</c:v>
                </c:pt>
                <c:pt idx="7">
                  <c:v>31.4</c:v>
                </c:pt>
                <c:pt idx="9">
                  <c:v>31.4</c:v>
                </c:pt>
                <c:pt idx="11">
                  <c:v>7.8827999999999996</c:v>
                </c:pt>
                <c:pt idx="13">
                  <c:v>18.12</c:v>
                </c:pt>
                <c:pt idx="15">
                  <c:v>6.4702999999999999</c:v>
                </c:pt>
                <c:pt idx="17">
                  <c:v>15.5647</c:v>
                </c:pt>
                <c:pt idx="19">
                  <c:v>10.878299999999999</c:v>
                </c:pt>
                <c:pt idx="20">
                  <c:v>5.2244000000000002</c:v>
                </c:pt>
                <c:pt idx="21">
                  <c:v>3.1894999999999998</c:v>
                </c:pt>
                <c:pt idx="22">
                  <c:v>2.9803000000000002</c:v>
                </c:pt>
                <c:pt idx="23">
                  <c:v>2.5825999999999998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9-4D59-90BC-890F0FFA9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154287"/>
        <c:axId val="994157167"/>
      </c:scatterChart>
      <c:valAx>
        <c:axId val="99415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157167"/>
        <c:crosses val="autoZero"/>
        <c:crossBetween val="midCat"/>
      </c:valAx>
      <c:valAx>
        <c:axId val="9941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15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58055</xdr:colOff>
      <xdr:row>31</xdr:row>
      <xdr:rowOff>125185</xdr:rowOff>
    </xdr:from>
    <xdr:to>
      <xdr:col>14</xdr:col>
      <xdr:colOff>449036</xdr:colOff>
      <xdr:row>53</xdr:row>
      <xdr:rowOff>27215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FB63D-7AF1-789A-ED45-0D584D6C7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534307</xdr:colOff>
      <xdr:row>31</xdr:row>
      <xdr:rowOff>105228</xdr:rowOff>
    </xdr:from>
    <xdr:to>
      <xdr:col>20</xdr:col>
      <xdr:colOff>707572</xdr:colOff>
      <xdr:row>52</xdr:row>
      <xdr:rowOff>149678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2BB8E3-21A3-CA1B-14AD-966F2F5AF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zoomScale="70" zoomScaleNormal="70" workbookViewId="0">
      <selection activeCell="Q29" sqref="Q29"/>
    </sheetView>
  </sheetViews>
  <sheetFormatPr baseColWidth="10" defaultColWidth="8.7265625" defaultRowHeight="14.5" x14ac:dyDescent="0.35"/>
  <cols>
    <col min="1" max="1" width="10.6328125" customWidth="1"/>
    <col min="2" max="2" width="11.36328125" customWidth="1"/>
    <col min="3" max="3" width="6" customWidth="1"/>
    <col min="4" max="4" width="8.08984375" customWidth="1"/>
    <col min="5" max="5" width="10.54296875" customWidth="1"/>
    <col min="6" max="6" width="13.54296875" customWidth="1"/>
    <col min="7" max="7" width="14" customWidth="1"/>
    <col min="8" max="8" width="10.36328125" customWidth="1"/>
    <col min="9" max="9" width="8.90625" customWidth="1"/>
    <col min="10" max="10" width="9.81640625" customWidth="1"/>
    <col min="11" max="11" width="11.36328125" customWidth="1"/>
    <col min="12" max="12" width="10.08984375" customWidth="1"/>
    <col min="13" max="13" width="10.6328125" customWidth="1"/>
    <col min="14" max="14" width="14.453125" customWidth="1"/>
    <col min="15" max="15" width="14" customWidth="1"/>
    <col min="16" max="16" width="13.26953125" customWidth="1"/>
    <col min="17" max="17" width="10.08984375" customWidth="1"/>
    <col min="18" max="18" width="9.81640625" customWidth="1"/>
    <col min="19" max="19" width="10.36328125" customWidth="1"/>
    <col min="20" max="20" width="12.36328125" customWidth="1"/>
    <col min="21" max="21" width="13.54296875" customWidth="1"/>
    <col min="22" max="22" width="11.81640625" customWidth="1"/>
  </cols>
  <sheetData>
    <row r="1" spans="1:22" s="1" customFormat="1" x14ac:dyDescent="0.35">
      <c r="A1" s="1" t="s">
        <v>14</v>
      </c>
      <c r="B1" s="1" t="s">
        <v>1</v>
      </c>
      <c r="C1" s="1" t="s">
        <v>0</v>
      </c>
      <c r="D1" s="1" t="s">
        <v>2</v>
      </c>
      <c r="E1" s="1" t="s">
        <v>8</v>
      </c>
      <c r="F1" s="1" t="s">
        <v>37</v>
      </c>
      <c r="G1" s="1" t="s">
        <v>54</v>
      </c>
      <c r="H1" s="3" t="s">
        <v>30</v>
      </c>
      <c r="I1" s="3" t="s">
        <v>34</v>
      </c>
      <c r="J1" s="3" t="s">
        <v>35</v>
      </c>
      <c r="K1" s="3" t="s">
        <v>31</v>
      </c>
      <c r="L1" s="3" t="s">
        <v>32</v>
      </c>
      <c r="M1" s="3" t="s">
        <v>33</v>
      </c>
      <c r="N1" s="3" t="s">
        <v>27</v>
      </c>
      <c r="O1" s="3" t="s">
        <v>28</v>
      </c>
      <c r="P1" s="3" t="s">
        <v>29</v>
      </c>
      <c r="Q1" s="3" t="s">
        <v>3</v>
      </c>
      <c r="R1" s="3" t="s">
        <v>4</v>
      </c>
      <c r="S1" s="3" t="s">
        <v>5</v>
      </c>
      <c r="T1" s="3" t="s">
        <v>9</v>
      </c>
      <c r="U1" s="3" t="s">
        <v>10</v>
      </c>
      <c r="V1" s="3" t="s">
        <v>11</v>
      </c>
    </row>
    <row r="2" spans="1:22" s="17" customFormat="1" x14ac:dyDescent="0.35">
      <c r="A2" s="17">
        <v>5</v>
      </c>
      <c r="B2" s="18">
        <v>44229</v>
      </c>
      <c r="C2" s="17">
        <v>2</v>
      </c>
      <c r="D2" s="17">
        <v>200</v>
      </c>
      <c r="E2" s="17" t="s">
        <v>6</v>
      </c>
      <c r="F2" s="17">
        <v>1</v>
      </c>
      <c r="G2" s="17" t="s">
        <v>7</v>
      </c>
      <c r="H2" s="19">
        <v>0.39739999999999998</v>
      </c>
      <c r="I2" s="19">
        <v>0.39450000000000002</v>
      </c>
      <c r="J2" s="19">
        <v>0.4002</v>
      </c>
      <c r="K2" s="19">
        <v>8.3299999999999999E-2</v>
      </c>
      <c r="L2" s="19">
        <v>7.9399999999999998E-2</v>
      </c>
      <c r="M2" s="19">
        <v>8.72E-2</v>
      </c>
      <c r="N2" s="19">
        <v>6.4999999999999997E-3</v>
      </c>
      <c r="O2" s="19">
        <v>3.0999999999999999E-3</v>
      </c>
      <c r="P2" s="19">
        <v>9.9000000000000008E-3</v>
      </c>
      <c r="Q2" s="19">
        <v>12.7714</v>
      </c>
      <c r="R2" s="19">
        <v>7.9874999999999998</v>
      </c>
      <c r="S2" s="19">
        <v>28.08</v>
      </c>
      <c r="T2" s="20">
        <f xml:space="preserve"> 1/(Constants!$B$2*Constants!$B$4*((A2/1000)^2)*Q2)</f>
        <v>1.982373790816676E-5</v>
      </c>
      <c r="U2" s="20">
        <f xml:space="preserve"> 1/(Constants!$B$2*Constants!$B$4*((A2/1000)^2)*S2)</f>
        <v>9.0162708803547338E-6</v>
      </c>
      <c r="V2" s="20">
        <f xml:space="preserve"> 1/(Constants!$B$2*Constants!$B$4*((A2/1000)^2)*R2)</f>
        <v>3.1696636785021715E-5</v>
      </c>
    </row>
    <row r="3" spans="1:22" s="2" customFormat="1" x14ac:dyDescent="0.35">
      <c r="A3" s="2">
        <v>10</v>
      </c>
      <c r="B3" s="4">
        <v>44231</v>
      </c>
      <c r="C3" s="2">
        <v>12</v>
      </c>
      <c r="D3" s="2">
        <v>300</v>
      </c>
      <c r="E3" s="2" t="s">
        <v>6</v>
      </c>
      <c r="F3" s="2">
        <v>1</v>
      </c>
      <c r="G3" s="2" t="s">
        <v>7</v>
      </c>
      <c r="H3" s="11">
        <v>0.44009999999999999</v>
      </c>
      <c r="I3" s="11">
        <v>0.43909999999999999</v>
      </c>
      <c r="J3" s="11">
        <v>0.44109999999999999</v>
      </c>
      <c r="K3" s="11">
        <v>7.4999999999999997E-2</v>
      </c>
      <c r="L3" s="11">
        <v>7.3599999999999999E-2</v>
      </c>
      <c r="M3" s="11">
        <v>7.6399999999999996E-2</v>
      </c>
      <c r="N3" s="11">
        <v>2.3999999999999998E-3</v>
      </c>
      <c r="O3" s="11">
        <v>1.6000000000000001E-3</v>
      </c>
      <c r="P3" s="11">
        <v>3.0999999999999999E-3</v>
      </c>
      <c r="Q3" s="11">
        <v>31.8</v>
      </c>
      <c r="R3" s="11">
        <v>23.4</v>
      </c>
      <c r="S3" s="11">
        <v>48.6</v>
      </c>
      <c r="T3" s="16">
        <f xml:space="preserve"> 1/(Constants!$B$2*Constants!$B$4*((A3/1000)^2)*Q3)</f>
        <v>1.9903843264179317E-6</v>
      </c>
      <c r="U3" s="16">
        <f xml:space="preserve"> 1/(Constants!$B$2*Constants!$B$4*((A3/1000)^2)*S3)</f>
        <v>1.3023502382734613E-6</v>
      </c>
      <c r="V3" s="16">
        <f xml:space="preserve"> 1/(Constants!$B$2*Constants!$B$4*((A3/1000)^2)*R3)</f>
        <v>2.7048812641064203E-6</v>
      </c>
    </row>
    <row r="4" spans="1:22" s="17" customFormat="1" x14ac:dyDescent="0.35">
      <c r="A4" s="17">
        <v>15</v>
      </c>
      <c r="B4" s="18">
        <v>44232</v>
      </c>
      <c r="C4" s="17">
        <v>8</v>
      </c>
      <c r="D4" s="17">
        <v>265</v>
      </c>
      <c r="E4" s="17" t="s">
        <v>7</v>
      </c>
      <c r="F4" s="17" t="s">
        <v>55</v>
      </c>
      <c r="G4" s="17" t="s">
        <v>7</v>
      </c>
      <c r="H4" s="19">
        <v>0.443</v>
      </c>
      <c r="I4" s="19">
        <v>0.44159999999999999</v>
      </c>
      <c r="J4" s="19">
        <v>0.44450000000000001</v>
      </c>
      <c r="K4" s="19">
        <v>5.9499999999999997E-2</v>
      </c>
      <c r="L4" s="19">
        <v>5.7599999999999998E-2</v>
      </c>
      <c r="M4" s="19">
        <v>6.1499999999999999E-2</v>
      </c>
      <c r="N4" s="19">
        <v>3.2000000000000002E-3</v>
      </c>
      <c r="O4" s="19">
        <v>1.6999999999999999E-3</v>
      </c>
      <c r="P4" s="19">
        <v>4.7999999999999996E-3</v>
      </c>
      <c r="Q4" s="19">
        <v>18.36</v>
      </c>
      <c r="R4" s="19">
        <v>12.1091</v>
      </c>
      <c r="S4" s="19">
        <v>35.549999999999997</v>
      </c>
      <c r="T4" s="20">
        <f xml:space="preserve"> 1/(Constants!$B$2*Constants!$B$4*((A4/1000)^2)*Q4)</f>
        <v>1.5321767509099549E-6</v>
      </c>
      <c r="U4" s="20">
        <f xml:space="preserve"> 1/(Constants!$B$2*Constants!$B$4*((A4/1000)^2)*S4)</f>
        <v>7.9130141059653373E-7</v>
      </c>
      <c r="V4" s="20">
        <f xml:space="preserve"> 1/(Constants!$B$2*Constants!$B$4*((A4/1000)^2)*R4)</f>
        <v>2.3231094917629527E-6</v>
      </c>
    </row>
    <row r="5" spans="1:22" s="2" customFormat="1" x14ac:dyDescent="0.35">
      <c r="A5" s="2">
        <v>20</v>
      </c>
      <c r="B5" s="4">
        <v>44229</v>
      </c>
      <c r="C5" s="2">
        <v>4</v>
      </c>
      <c r="D5" s="2">
        <v>350</v>
      </c>
      <c r="E5" s="2" t="s">
        <v>6</v>
      </c>
      <c r="F5" s="2">
        <v>1</v>
      </c>
      <c r="G5" s="2" t="s">
        <v>7</v>
      </c>
      <c r="H5" s="11">
        <v>0.4279</v>
      </c>
      <c r="I5" s="11">
        <v>0.42670000000000002</v>
      </c>
      <c r="J5" s="11">
        <v>0.42909999999999998</v>
      </c>
      <c r="K5" s="11">
        <v>3.3000000000000002E-2</v>
      </c>
      <c r="L5" s="11">
        <v>3.1800000000000002E-2</v>
      </c>
      <c r="M5" s="11">
        <v>3.4099999999999998E-2</v>
      </c>
      <c r="N5" s="11">
        <v>3.2000000000000002E-3</v>
      </c>
      <c r="O5" s="11">
        <v>2.3E-3</v>
      </c>
      <c r="P5" s="11">
        <v>4.1999999999999997E-3</v>
      </c>
      <c r="Q5" s="11">
        <v>10.151999999999999</v>
      </c>
      <c r="R5" s="11">
        <v>7.65</v>
      </c>
      <c r="S5" s="11">
        <v>14.6</v>
      </c>
      <c r="T5" s="16">
        <f xml:space="preserve"> 1/(Constants!$B$2*Constants!$B$4*((A5/1000)^2)*Q5)</f>
        <v>1.5586638489974941E-6</v>
      </c>
      <c r="U5" s="16">
        <f xml:space="preserve"> 1/(Constants!$B$2*Constants!$B$4*((A5/1000)^2)*S5)</f>
        <v>1.0838051640426409E-6</v>
      </c>
      <c r="V5" s="16">
        <f xml:space="preserve"> 1/(Constants!$B$2*Constants!$B$4*((A5/1000)^2)*R5)</f>
        <v>2.0684386137284388E-6</v>
      </c>
    </row>
    <row r="6" spans="1:22" s="17" customFormat="1" x14ac:dyDescent="0.35">
      <c r="A6" s="17">
        <v>25</v>
      </c>
      <c r="B6" s="18">
        <v>44230</v>
      </c>
      <c r="C6" s="17">
        <v>1</v>
      </c>
      <c r="D6" s="17">
        <v>320</v>
      </c>
      <c r="E6" s="17" t="s">
        <v>6</v>
      </c>
      <c r="F6" s="17">
        <v>1</v>
      </c>
      <c r="G6" s="17" t="s">
        <v>7</v>
      </c>
      <c r="H6" s="19">
        <v>0.44900000000000001</v>
      </c>
      <c r="I6" s="19">
        <v>0.44779999999999998</v>
      </c>
      <c r="J6" s="19">
        <v>0.45029999999999998</v>
      </c>
      <c r="K6" s="19">
        <v>1.9800000000000002E-2</v>
      </c>
      <c r="L6" s="19">
        <v>1.8100000000000002E-2</v>
      </c>
      <c r="M6" s="19">
        <v>2.1499999999999998E-2</v>
      </c>
      <c r="N6" s="19">
        <v>6.1999999999999998E-3</v>
      </c>
      <c r="O6" s="19">
        <v>4.7999999999999996E-3</v>
      </c>
      <c r="P6" s="19">
        <v>7.4999999999999997E-3</v>
      </c>
      <c r="Q6" s="19">
        <v>3.2033999999999998</v>
      </c>
      <c r="R6" s="19">
        <v>2.4</v>
      </c>
      <c r="S6" s="19">
        <v>4.4608999999999996</v>
      </c>
      <c r="T6" s="20">
        <f xml:space="preserve"> 1/(Constants!$B$2*Constants!$B$4*((A6/1000)^2)*Q6)</f>
        <v>3.1613521423532608E-6</v>
      </c>
      <c r="U6" s="20">
        <f xml:space="preserve"> 1/(Constants!$B$2*Constants!$B$4*((A6/1000)^2)*S6)</f>
        <v>2.2701866109561827E-6</v>
      </c>
      <c r="V6" s="20">
        <f xml:space="preserve"> 1/(Constants!$B$2*Constants!$B$4*((A6/1000)^2)*R6)</f>
        <v>4.2196147720060148E-6</v>
      </c>
    </row>
    <row r="7" spans="1:22" s="2" customFormat="1" x14ac:dyDescent="0.35">
      <c r="A7" s="2">
        <v>30</v>
      </c>
      <c r="B7" s="4">
        <v>44229</v>
      </c>
      <c r="C7" s="2">
        <v>6</v>
      </c>
      <c r="D7" s="2">
        <v>350</v>
      </c>
      <c r="E7" s="2" t="s">
        <v>6</v>
      </c>
      <c r="F7" s="2">
        <v>1</v>
      </c>
      <c r="G7" s="2" t="s">
        <v>7</v>
      </c>
      <c r="H7" s="11">
        <v>0.44529999999999997</v>
      </c>
      <c r="I7" s="11">
        <v>0.44409999999999999</v>
      </c>
      <c r="J7" s="11">
        <v>0.44650000000000001</v>
      </c>
      <c r="K7" s="11">
        <v>8.3000000000000004E-2</v>
      </c>
      <c r="L7" s="11">
        <v>8.14E-2</v>
      </c>
      <c r="M7" s="11">
        <v>8.4599999999999995E-2</v>
      </c>
      <c r="N7" s="11">
        <v>2.0999999999999999E-3</v>
      </c>
      <c r="O7" s="11">
        <v>1.8E-3</v>
      </c>
      <c r="P7" s="11">
        <v>3.5000000000000001E-3</v>
      </c>
      <c r="Q7" s="11">
        <v>40.371400000000001</v>
      </c>
      <c r="R7" s="11">
        <v>23.1</v>
      </c>
      <c r="S7" s="11">
        <v>48</v>
      </c>
      <c r="T7" s="16">
        <f xml:space="preserve"> 1/(Constants!$B$2*Constants!$B$4*((A7/1000)^2)*Q7)</f>
        <v>1.7419983668331275E-7</v>
      </c>
      <c r="U7" s="16">
        <f xml:space="preserve"> 1/(Constants!$B$2*Constants!$B$4*((A7/1000)^2)*S7)</f>
        <v>1.4651440180576443E-7</v>
      </c>
      <c r="V7" s="16">
        <f xml:space="preserve"> 1/(Constants!$B$2*Constants!$B$4*((A7/1000)^2)*R7)</f>
        <v>3.0444551024574429E-7</v>
      </c>
    </row>
    <row r="8" spans="1:22" s="17" customFormat="1" x14ac:dyDescent="0.35">
      <c r="A8" s="17">
        <v>35</v>
      </c>
      <c r="B8" s="18">
        <v>44235</v>
      </c>
      <c r="C8" s="17">
        <v>1</v>
      </c>
      <c r="D8" s="17">
        <v>200</v>
      </c>
      <c r="E8" s="17" t="s">
        <v>6</v>
      </c>
      <c r="F8" s="17">
        <v>1</v>
      </c>
      <c r="G8" s="17" t="s">
        <v>7</v>
      </c>
      <c r="H8" s="19">
        <v>0.45810000000000001</v>
      </c>
      <c r="I8" s="19">
        <v>0.45600000000000002</v>
      </c>
      <c r="J8" s="19">
        <v>0.4602</v>
      </c>
      <c r="K8" s="19">
        <v>8.7400000000000005E-2</v>
      </c>
      <c r="L8" s="19">
        <v>8.4699999999999998E-2</v>
      </c>
      <c r="M8" s="19">
        <v>9.0200000000000002E-2</v>
      </c>
      <c r="N8" s="19">
        <v>3.3999999999999998E-3</v>
      </c>
      <c r="O8" s="19">
        <v>1.1999999999999999E-3</v>
      </c>
      <c r="P8" s="19">
        <v>5.5999999999999999E-3</v>
      </c>
      <c r="Q8" s="19">
        <v>25.690899999999999</v>
      </c>
      <c r="R8" s="19">
        <v>15.2</v>
      </c>
      <c r="S8" s="19">
        <v>72.900000000000006</v>
      </c>
      <c r="T8" s="20">
        <f xml:space="preserve"> 1/(Constants!$B$2*Constants!$B$4*((A8/1000)^2)*Q8)</f>
        <v>2.0111694144727409E-7</v>
      </c>
      <c r="U8" s="20">
        <f xml:space="preserve"> 1/(Constants!$B$2*Constants!$B$4*((A8/1000)^2)*S8)</f>
        <v>7.0876203443453684E-8</v>
      </c>
      <c r="V8" s="20">
        <f xml:space="preserve"> 1/(Constants!$B$2*Constants!$B$4*((A8/1000)^2)*R8)</f>
        <v>3.3992600204130091E-7</v>
      </c>
    </row>
    <row r="9" spans="1:22" s="2" customFormat="1" x14ac:dyDescent="0.35">
      <c r="A9" s="2">
        <v>40</v>
      </c>
      <c r="B9" s="4">
        <v>44237</v>
      </c>
      <c r="C9" s="2">
        <v>1</v>
      </c>
      <c r="D9" s="2">
        <v>300</v>
      </c>
      <c r="E9" s="2" t="s">
        <v>6</v>
      </c>
      <c r="F9" s="2">
        <v>1</v>
      </c>
      <c r="G9" s="2" t="s">
        <v>7</v>
      </c>
      <c r="H9" s="11">
        <v>0.47670000000000001</v>
      </c>
      <c r="I9" s="11">
        <v>0.47470000000000001</v>
      </c>
      <c r="J9" s="11">
        <v>0.47860000000000003</v>
      </c>
      <c r="K9" s="11">
        <v>7.6499999999999999E-2</v>
      </c>
      <c r="L9" s="11">
        <v>7.3899999999999993E-2</v>
      </c>
      <c r="M9" s="11">
        <v>7.9100000000000004E-2</v>
      </c>
      <c r="N9" s="11">
        <v>4.8999999999999998E-3</v>
      </c>
      <c r="O9" s="11">
        <v>4.0000000000000001E-3</v>
      </c>
      <c r="P9" s="11">
        <v>6.8999999999999999E-3</v>
      </c>
      <c r="Q9" s="11">
        <v>15.5647</v>
      </c>
      <c r="R9" s="11">
        <v>10.65</v>
      </c>
      <c r="S9" s="11">
        <v>19.542899999999999</v>
      </c>
      <c r="T9" s="16">
        <f xml:space="preserve"> 1/(Constants!$B$2*Constants!$B$4*((A9/1000)^2)*Q9)</f>
        <v>2.541577318390743E-7</v>
      </c>
      <c r="U9" s="16">
        <f xml:space="preserve"> 1/(Constants!$B$2*Constants!$B$4*((A9/1000)^2)*S9)</f>
        <v>2.0242076911592648E-7</v>
      </c>
      <c r="V9" s="16">
        <f xml:space="preserve"> 1/(Constants!$B$2*Constants!$B$4*((A9/1000)^2)*R9)</f>
        <v>3.7144496232447317E-7</v>
      </c>
    </row>
    <row r="10" spans="1:22" s="17" customFormat="1" x14ac:dyDescent="0.35">
      <c r="A10" s="17">
        <v>45</v>
      </c>
      <c r="B10" s="18">
        <v>44235</v>
      </c>
      <c r="C10" s="17">
        <v>2</v>
      </c>
      <c r="D10" s="17">
        <v>300</v>
      </c>
      <c r="E10" s="17" t="s">
        <v>7</v>
      </c>
      <c r="F10" s="17">
        <v>1</v>
      </c>
      <c r="G10" s="17" t="s">
        <v>7</v>
      </c>
      <c r="H10" s="19">
        <v>0.46379999999999999</v>
      </c>
      <c r="I10" s="19">
        <v>0.4617</v>
      </c>
      <c r="J10" s="19">
        <v>0.46600000000000003</v>
      </c>
      <c r="K10" s="19">
        <v>9.0700000000000003E-2</v>
      </c>
      <c r="L10" s="19">
        <v>8.7800000000000003E-2</v>
      </c>
      <c r="M10" s="19">
        <v>9.3600000000000003E-2</v>
      </c>
      <c r="N10" s="19">
        <v>4.1999999999999997E-3</v>
      </c>
      <c r="O10" s="19">
        <v>1.9E-3</v>
      </c>
      <c r="P10" s="19">
        <v>6.4000000000000003E-3</v>
      </c>
      <c r="Q10" s="19">
        <v>21.738499999999998</v>
      </c>
      <c r="R10" s="19">
        <v>13.68</v>
      </c>
      <c r="S10" s="19">
        <v>48.6</v>
      </c>
      <c r="T10" s="20">
        <f xml:space="preserve"> 1/(Constants!$B$2*Constants!$B$4*((A10/1000)^2)*Q10)</f>
        <v>1.4378363603083509E-7</v>
      </c>
      <c r="U10" s="20">
        <f xml:space="preserve"> 1/(Constants!$B$2*Constants!$B$4*((A10/1000)^2)*S10)</f>
        <v>6.4313592013504291E-8</v>
      </c>
      <c r="V10" s="20">
        <f xml:space="preserve"> 1/(Constants!$B$2*Constants!$B$4*((A10/1000)^2)*R10)</f>
        <v>2.2848249794271259E-7</v>
      </c>
    </row>
    <row r="11" spans="1:22" s="2" customFormat="1" x14ac:dyDescent="0.35">
      <c r="A11" s="2">
        <v>50</v>
      </c>
      <c r="B11" s="4">
        <v>44235</v>
      </c>
      <c r="C11" s="2">
        <v>4</v>
      </c>
      <c r="D11" s="2">
        <v>300</v>
      </c>
      <c r="E11" s="2" t="s">
        <v>6</v>
      </c>
      <c r="F11" s="2">
        <v>1</v>
      </c>
      <c r="G11" s="2" t="s">
        <v>7</v>
      </c>
      <c r="H11" s="11">
        <v>0.47120000000000001</v>
      </c>
      <c r="I11" s="11">
        <v>0.46970000000000001</v>
      </c>
      <c r="J11" s="11">
        <v>0.47270000000000001</v>
      </c>
      <c r="K11" s="11">
        <v>6.1899999999999997E-2</v>
      </c>
      <c r="L11" s="11">
        <v>6.0699999999999997E-2</v>
      </c>
      <c r="M11" s="11">
        <v>6.4799999999999996E-2</v>
      </c>
      <c r="N11" s="11">
        <v>3.3999999999999998E-3</v>
      </c>
      <c r="O11" s="11">
        <v>1.8E-3</v>
      </c>
      <c r="P11" s="11">
        <v>5.0000000000000001E-3</v>
      </c>
      <c r="Q11" s="11">
        <v>18.12</v>
      </c>
      <c r="R11" s="11">
        <v>12.1091</v>
      </c>
      <c r="S11" s="11">
        <v>35.549999999999997</v>
      </c>
      <c r="T11" s="16">
        <f xml:space="preserve"> 1/(Constants!$B$2*Constants!$B$4*((A11/1000)^2)*Q11)</f>
        <v>1.3972234344390777E-7</v>
      </c>
      <c r="U11" s="16">
        <f xml:space="preserve"> 1/(Constants!$B$2*Constants!$B$4*((A11/1000)^2)*S11)</f>
        <v>7.1217126953688016E-8</v>
      </c>
      <c r="V11" s="16">
        <f xml:space="preserve"> 1/(Constants!$B$2*Constants!$B$4*((A11/1000)^2)*R11)</f>
        <v>2.0907985425866569E-7</v>
      </c>
    </row>
    <row r="12" spans="1:22" s="17" customFormat="1" x14ac:dyDescent="0.35">
      <c r="A12" s="17">
        <v>55</v>
      </c>
      <c r="B12" s="18">
        <v>44235</v>
      </c>
      <c r="C12" s="17">
        <v>6</v>
      </c>
      <c r="D12" s="17">
        <v>150</v>
      </c>
      <c r="E12" s="17" t="s">
        <v>6</v>
      </c>
      <c r="F12" s="17">
        <v>1</v>
      </c>
      <c r="G12" s="17" t="s">
        <v>7</v>
      </c>
      <c r="H12" s="19">
        <v>0.48970000000000002</v>
      </c>
      <c r="I12" s="19">
        <v>0.4864</v>
      </c>
      <c r="J12" s="19">
        <v>0.4929</v>
      </c>
      <c r="K12" s="19">
        <v>5.8400000000000001E-2</v>
      </c>
      <c r="L12" s="19">
        <v>5.5599999999999997E-2</v>
      </c>
      <c r="M12" s="19">
        <v>6.2799999999999995E-2</v>
      </c>
      <c r="N12" s="19">
        <v>6.4000000000000003E-3</v>
      </c>
      <c r="O12" s="19">
        <v>2.2000000000000001E-3</v>
      </c>
      <c r="P12" s="19">
        <v>8.8000000000000005E-3</v>
      </c>
      <c r="Q12" s="19">
        <v>9.1241000000000003</v>
      </c>
      <c r="R12" s="19">
        <v>6.3</v>
      </c>
      <c r="S12" s="19">
        <v>28.44</v>
      </c>
      <c r="T12" s="20">
        <f xml:space="preserve"> 1/(Constants!$B$2*Constants!$B$4*((A12/1000)^2)*Q12)</f>
        <v>2.2932354548123069E-7</v>
      </c>
      <c r="U12" s="20">
        <f xml:space="preserve"> 1/(Constants!$B$2*Constants!$B$4*((A12/1000)^2)*S12)</f>
        <v>7.3571412142239692E-8</v>
      </c>
      <c r="V12" s="20">
        <f xml:space="preserve"> 1/(Constants!$B$2*Constants!$B$4*((A12/1000)^2)*R12)</f>
        <v>3.3212237481353922E-7</v>
      </c>
    </row>
    <row r="13" spans="1:22" s="2" customFormat="1" x14ac:dyDescent="0.35">
      <c r="A13" s="2">
        <v>60</v>
      </c>
      <c r="B13" s="4">
        <v>44235</v>
      </c>
      <c r="C13" s="2">
        <v>7</v>
      </c>
      <c r="D13" s="2">
        <v>300</v>
      </c>
      <c r="E13" s="2" t="s">
        <v>6</v>
      </c>
      <c r="F13" s="2">
        <v>1</v>
      </c>
      <c r="G13" s="2" t="s">
        <v>7</v>
      </c>
      <c r="H13" s="11">
        <v>0.49759999999999999</v>
      </c>
      <c r="I13" s="11">
        <v>0.49569999999999997</v>
      </c>
      <c r="J13" s="11">
        <v>0.4995</v>
      </c>
      <c r="K13" s="11">
        <v>6.8599999999999994E-2</v>
      </c>
      <c r="L13" s="11">
        <v>6.6000000000000003E-2</v>
      </c>
      <c r="M13" s="11">
        <v>7.1099999999999997E-2</v>
      </c>
      <c r="N13" s="11">
        <v>7.1999999999999998E-3</v>
      </c>
      <c r="O13" s="11">
        <v>5.1999999999999998E-3</v>
      </c>
      <c r="P13" s="11">
        <v>9.1999999999999998E-3</v>
      </c>
      <c r="Q13" s="11">
        <v>9.5760000000000005</v>
      </c>
      <c r="R13" s="11">
        <v>7.2</v>
      </c>
      <c r="S13" s="11">
        <v>13.8</v>
      </c>
      <c r="T13" s="16">
        <f xml:space="preserve"> 1/(Constants!$B$2*Constants!$B$4*((A13/1000)^2)*Q13)</f>
        <v>1.8360200727539403E-7</v>
      </c>
      <c r="U13" s="16">
        <f xml:space="preserve"> 1/(Constants!$B$2*Constants!$B$4*((A13/1000)^2)*S13)</f>
        <v>1.2740382765718648E-7</v>
      </c>
      <c r="V13" s="16">
        <f xml:space="preserve"> 1/(Constants!$B$2*Constants!$B$4*((A13/1000)^2)*R13)</f>
        <v>2.4419066967627403E-7</v>
      </c>
    </row>
    <row r="14" spans="1:22" s="17" customFormat="1" x14ac:dyDescent="0.35">
      <c r="A14" s="17">
        <v>65</v>
      </c>
      <c r="B14" s="18">
        <v>44236</v>
      </c>
      <c r="C14" s="17">
        <v>1</v>
      </c>
      <c r="D14" s="17">
        <v>332</v>
      </c>
      <c r="E14" s="17" t="s">
        <v>6</v>
      </c>
      <c r="F14" s="17">
        <v>1</v>
      </c>
      <c r="G14" s="17" t="s">
        <v>7</v>
      </c>
      <c r="H14" s="19">
        <v>0.50619999999999998</v>
      </c>
      <c r="I14" s="19">
        <v>0.50370000000000004</v>
      </c>
      <c r="J14" s="19">
        <v>0.50860000000000005</v>
      </c>
      <c r="K14" s="19">
        <v>4.3200000000000002E-2</v>
      </c>
      <c r="L14" s="19">
        <v>4.0599999999999997E-2</v>
      </c>
      <c r="M14" s="19">
        <v>4.58E-2</v>
      </c>
      <c r="N14" s="19">
        <v>8.8000000000000005E-3</v>
      </c>
      <c r="O14" s="19">
        <v>6.6E-3</v>
      </c>
      <c r="P14" s="19">
        <v>1.11E-2</v>
      </c>
      <c r="Q14" s="19">
        <v>4.8977000000000004</v>
      </c>
      <c r="R14" s="19">
        <v>3.6667000000000001</v>
      </c>
      <c r="S14" s="19">
        <v>6.9749999999999996</v>
      </c>
      <c r="T14" s="20">
        <f xml:space="preserve"> 1/(Constants!$B$2*Constants!$B$4*((A14/1000)^2)*Q14)</f>
        <v>3.0587583656325692E-7</v>
      </c>
      <c r="U14" s="20">
        <f xml:space="preserve"> 1/(Constants!$B$2*Constants!$B$4*((A14/1000)^2)*S14)</f>
        <v>2.1477965372557184E-7</v>
      </c>
      <c r="V14" s="20">
        <f xml:space="preserve"> 1/(Constants!$B$2*Constants!$B$4*((A14/1000)^2)*R14)</f>
        <v>4.0856576342102254E-7</v>
      </c>
    </row>
    <row r="15" spans="1:22" s="2" customFormat="1" x14ac:dyDescent="0.35">
      <c r="A15" s="2">
        <v>70</v>
      </c>
      <c r="B15" s="4">
        <v>44236</v>
      </c>
      <c r="C15" s="2">
        <v>2</v>
      </c>
      <c r="D15" s="2">
        <v>300</v>
      </c>
      <c r="E15" s="2" t="s">
        <v>6</v>
      </c>
      <c r="F15" s="2">
        <v>1</v>
      </c>
      <c r="G15" s="2" t="s">
        <v>7</v>
      </c>
      <c r="H15" s="11">
        <v>0.49940000000000001</v>
      </c>
      <c r="I15" s="11">
        <v>0.4975</v>
      </c>
      <c r="J15" s="11">
        <v>0.50129999999999997</v>
      </c>
      <c r="K15" s="11">
        <v>7.6300000000000007E-2</v>
      </c>
      <c r="L15" s="11">
        <v>7.3700000000000002E-2</v>
      </c>
      <c r="M15" s="11">
        <v>7.8899999999999998E-2</v>
      </c>
      <c r="N15" s="11">
        <v>6.1000000000000004E-3</v>
      </c>
      <c r="O15" s="11">
        <v>2.8999999999999998E-3</v>
      </c>
      <c r="P15" s="11">
        <v>8.0999999999999996E-3</v>
      </c>
      <c r="Q15" s="11">
        <v>12.6</v>
      </c>
      <c r="R15" s="11">
        <v>9.1286000000000005</v>
      </c>
      <c r="S15" s="11">
        <v>27.36</v>
      </c>
      <c r="T15" s="16">
        <f xml:space="preserve"> 1/(Constants!$B$2*Constants!$B$4*((A15/1000)^2)*Q15)</f>
        <v>1.0251736569499553E-7</v>
      </c>
      <c r="U15" s="16">
        <f xml:space="preserve"> 1/(Constants!$B$2*Constants!$B$4*((A15/1000)^2)*S15)</f>
        <v>4.721194472795846E-8</v>
      </c>
      <c r="V15" s="16">
        <f xml:space="preserve"> 1/(Constants!$B$2*Constants!$B$4*((A15/1000)^2)*R15)</f>
        <v>1.4150239990326483E-7</v>
      </c>
    </row>
    <row r="16" spans="1:22" s="17" customFormat="1" x14ac:dyDescent="0.35">
      <c r="A16" s="17">
        <v>75</v>
      </c>
      <c r="B16" s="18">
        <v>44236</v>
      </c>
      <c r="C16" s="17">
        <v>3</v>
      </c>
      <c r="D16" s="17">
        <v>300</v>
      </c>
      <c r="E16" s="17" t="s">
        <v>6</v>
      </c>
      <c r="F16" s="17">
        <v>1</v>
      </c>
      <c r="G16" s="17" t="s">
        <v>7</v>
      </c>
      <c r="H16" s="19">
        <v>0.49780000000000002</v>
      </c>
      <c r="I16" s="19">
        <v>0.49480000000000002</v>
      </c>
      <c r="J16" s="19">
        <v>0.50090000000000001</v>
      </c>
      <c r="K16" s="19">
        <v>4.9000000000000002E-2</v>
      </c>
      <c r="L16" s="19">
        <v>4.4900000000000002E-2</v>
      </c>
      <c r="M16" s="19">
        <v>5.3100000000000001E-2</v>
      </c>
      <c r="N16" s="19">
        <v>1.2999999999999999E-2</v>
      </c>
      <c r="O16" s="19">
        <v>1.0200000000000001E-2</v>
      </c>
      <c r="P16" s="19">
        <v>1.5800000000000002E-2</v>
      </c>
      <c r="Q16" s="19">
        <v>3.7765</v>
      </c>
      <c r="R16" s="19">
        <v>2.8452000000000002</v>
      </c>
      <c r="S16" s="19">
        <v>5.22</v>
      </c>
      <c r="T16" s="20">
        <f xml:space="preserve"> 1/(Constants!$B$2*Constants!$B$4*((A16/1000)^2)*Q16)</f>
        <v>2.9795593959175711E-7</v>
      </c>
      <c r="U16" s="20">
        <f xml:space="preserve"> 1/(Constants!$B$2*Constants!$B$4*((A16/1000)^2)*S16)</f>
        <v>2.1556141874871089E-7</v>
      </c>
      <c r="V16" s="20">
        <f xml:space="preserve"> 1/(Constants!$B$2*Constants!$B$4*((A16/1000)^2)*R16)</f>
        <v>3.9548383448202964E-7</v>
      </c>
    </row>
    <row r="17" spans="1:22" s="2" customFormat="1" x14ac:dyDescent="0.35">
      <c r="A17" s="2">
        <v>80</v>
      </c>
      <c r="B17" s="4">
        <v>44236</v>
      </c>
      <c r="C17" s="2">
        <v>4</v>
      </c>
      <c r="D17" s="2">
        <v>300</v>
      </c>
      <c r="E17" s="2" t="s">
        <v>6</v>
      </c>
      <c r="F17" s="2">
        <v>1</v>
      </c>
      <c r="G17" s="2" t="s">
        <v>7</v>
      </c>
      <c r="H17" s="11">
        <v>0.50570000000000004</v>
      </c>
      <c r="I17" s="11">
        <v>0.50339999999999996</v>
      </c>
      <c r="J17" s="11">
        <v>0.50800000000000001</v>
      </c>
      <c r="K17" s="11">
        <v>3.8800000000000001E-2</v>
      </c>
      <c r="L17" s="11">
        <v>3.6400000000000002E-2</v>
      </c>
      <c r="M17" s="11">
        <v>4.2500000000000003E-2</v>
      </c>
      <c r="N17" s="11">
        <v>8.2000000000000007E-3</v>
      </c>
      <c r="O17" s="11">
        <v>5.3E-3</v>
      </c>
      <c r="P17" s="11">
        <v>1.03E-2</v>
      </c>
      <c r="Q17" s="11">
        <v>4.7302</v>
      </c>
      <c r="R17" s="11">
        <v>3.5333000000000001</v>
      </c>
      <c r="S17" s="11">
        <v>7.9714</v>
      </c>
      <c r="T17" s="16">
        <f xml:space="preserve"> 1/(Constants!$B$2*Constants!$B$4*((A17/1000)^2)*Q17)</f>
        <v>2.0907619385838017E-7</v>
      </c>
      <c r="U17" s="16">
        <f xml:space="preserve"> 1/(Constants!$B$2*Constants!$B$4*((A17/1000)^2)*S17)</f>
        <v>1.2406505910993174E-7</v>
      </c>
      <c r="V17" s="16">
        <f xml:space="preserve"> 1/(Constants!$B$2*Constants!$B$4*((A17/1000)^2)*R17)</f>
        <v>2.7990043647267705E-7</v>
      </c>
    </row>
    <row r="18" spans="1:22" s="17" customFormat="1" x14ac:dyDescent="0.35">
      <c r="A18" s="17">
        <v>85</v>
      </c>
      <c r="B18" s="18">
        <v>44237</v>
      </c>
      <c r="C18" s="17">
        <v>2</v>
      </c>
      <c r="D18" s="17">
        <v>300</v>
      </c>
      <c r="E18" s="17" t="s">
        <v>6</v>
      </c>
      <c r="F18" s="17">
        <v>1</v>
      </c>
      <c r="G18" s="17" t="s">
        <v>7</v>
      </c>
      <c r="H18" s="19">
        <v>0.51349999999999996</v>
      </c>
      <c r="I18" s="19">
        <v>0.51080000000000003</v>
      </c>
      <c r="J18" s="19">
        <v>0.51619999999999999</v>
      </c>
      <c r="K18" s="19">
        <v>6.9599999999999995E-2</v>
      </c>
      <c r="L18" s="19">
        <v>6.7000000000000004E-2</v>
      </c>
      <c r="M18" s="19">
        <v>7.22E-2</v>
      </c>
      <c r="N18" s="19">
        <v>8.3999999999999995E-3</v>
      </c>
      <c r="O18" s="19">
        <v>5.1999999999999998E-3</v>
      </c>
      <c r="P18" s="19">
        <v>1.0500000000000001E-2</v>
      </c>
      <c r="Q18" s="19">
        <v>8.2552000000000003</v>
      </c>
      <c r="R18" s="19">
        <v>6.4</v>
      </c>
      <c r="S18" s="19">
        <v>13.8</v>
      </c>
      <c r="T18" s="20">
        <f xml:space="preserve"> 1/(Constants!$B$2*Constants!$B$4*((A18/1000)^2)*Q18)</f>
        <v>1.0612033498204882E-7</v>
      </c>
      <c r="U18" s="20">
        <f xml:space="preserve"> 1/(Constants!$B$2*Constants!$B$4*((A18/1000)^2)*S18)</f>
        <v>6.3481491981435456E-8</v>
      </c>
      <c r="V18" s="20">
        <f xml:space="preserve"> 1/(Constants!$B$2*Constants!$B$4*((A18/1000)^2)*R18)</f>
        <v>1.368819670849702E-7</v>
      </c>
    </row>
    <row r="19" spans="1:22" s="2" customFormat="1" x14ac:dyDescent="0.35">
      <c r="A19" s="2">
        <v>90</v>
      </c>
      <c r="B19" s="4">
        <v>44237</v>
      </c>
      <c r="C19" s="2">
        <v>3</v>
      </c>
      <c r="D19" s="2">
        <v>300</v>
      </c>
      <c r="E19" s="2" t="s">
        <v>6</v>
      </c>
      <c r="F19" s="2">
        <v>1</v>
      </c>
      <c r="G19" s="2" t="s">
        <v>7</v>
      </c>
      <c r="H19" s="11">
        <v>0.52329999999999999</v>
      </c>
      <c r="I19" s="11">
        <v>0.52110000000000001</v>
      </c>
      <c r="J19" s="11">
        <v>0.52549999999999997</v>
      </c>
      <c r="K19" s="11">
        <v>4.6800000000000001E-2</v>
      </c>
      <c r="L19" s="11">
        <v>4.3799999999999999E-2</v>
      </c>
      <c r="M19" s="11">
        <v>4.9799999999999997E-2</v>
      </c>
      <c r="N19" s="11">
        <v>9.2999999999999992E-3</v>
      </c>
      <c r="O19" s="11">
        <v>6.1999999999999998E-3</v>
      </c>
      <c r="P19" s="11">
        <v>1.15E-2</v>
      </c>
      <c r="Q19" s="11">
        <v>5.0308000000000002</v>
      </c>
      <c r="R19" s="11">
        <v>3.8250000000000002</v>
      </c>
      <c r="S19" s="11">
        <v>8.0307999999999993</v>
      </c>
      <c r="T19" s="16">
        <f xml:space="preserve"> 1/(Constants!$B$2*Constants!$B$4*((A19/1000)^2)*Q19)</f>
        <v>1.5532522520554924E-7</v>
      </c>
      <c r="U19" s="16">
        <f xml:space="preserve"> 1/(Constants!$B$2*Constants!$B$4*((A19/1000)^2)*S19)</f>
        <v>9.7301656493011546E-8</v>
      </c>
      <c r="V19" s="16">
        <f xml:space="preserve"> 1/(Constants!$B$2*Constants!$B$4*((A19/1000)^2)*R19)</f>
        <v>2.0429023345466067E-7</v>
      </c>
    </row>
    <row r="20" spans="1:22" s="17" customFormat="1" x14ac:dyDescent="0.35">
      <c r="A20" s="17">
        <v>95</v>
      </c>
      <c r="B20" s="18">
        <v>44237</v>
      </c>
      <c r="C20" s="17">
        <v>4</v>
      </c>
      <c r="D20" s="17">
        <v>300</v>
      </c>
      <c r="E20" s="17" t="s">
        <v>6</v>
      </c>
      <c r="F20" s="17">
        <v>1</v>
      </c>
      <c r="G20" s="17" t="s">
        <v>7</v>
      </c>
      <c r="H20" s="19">
        <v>0.53129999999999999</v>
      </c>
      <c r="I20" s="19">
        <v>0.52869999999999995</v>
      </c>
      <c r="J20" s="19">
        <v>0.53390000000000004</v>
      </c>
      <c r="K20" s="19">
        <v>4.07E-2</v>
      </c>
      <c r="L20" s="19">
        <v>3.7900000000000003E-2</v>
      </c>
      <c r="M20" s="19">
        <v>4.3499999999999997E-2</v>
      </c>
      <c r="N20" s="19">
        <v>9.4000000000000004E-3</v>
      </c>
      <c r="O20" s="19">
        <v>7.4999999999999997E-3</v>
      </c>
      <c r="P20" s="19">
        <v>1.14E-2</v>
      </c>
      <c r="Q20" s="19">
        <v>4.3116000000000003</v>
      </c>
      <c r="R20" s="19">
        <v>3.3231000000000002</v>
      </c>
      <c r="S20" s="19">
        <v>5.8235000000000001</v>
      </c>
      <c r="T20" s="20">
        <f xml:space="preserve"> 1/(Constants!$B$2*Constants!$B$4*((A20/1000)^2)*Q20)</f>
        <v>1.626591090866133E-7</v>
      </c>
      <c r="U20" s="20">
        <f xml:space="preserve"> 1/(Constants!$B$2*Constants!$B$4*((A20/1000)^2)*S20)</f>
        <v>1.204294693462423E-7</v>
      </c>
      <c r="V20" s="20">
        <f xml:space="preserve"> 1/(Constants!$B$2*Constants!$B$4*((A20/1000)^2)*R20)</f>
        <v>2.1104421014650236E-7</v>
      </c>
    </row>
    <row r="21" spans="1:22" s="2" customFormat="1" x14ac:dyDescent="0.35">
      <c r="A21" s="2">
        <v>100</v>
      </c>
      <c r="B21" s="4">
        <v>44237</v>
      </c>
      <c r="C21" s="2">
        <v>5</v>
      </c>
      <c r="D21" s="2">
        <v>300</v>
      </c>
      <c r="E21" s="2" t="s">
        <v>6</v>
      </c>
      <c r="F21" s="2">
        <v>1</v>
      </c>
      <c r="G21" s="2" t="s">
        <v>7</v>
      </c>
      <c r="H21" s="11">
        <v>0.53480000000000005</v>
      </c>
      <c r="I21" s="11">
        <v>0.53200000000000003</v>
      </c>
      <c r="J21" s="11">
        <v>0.53759999999999997</v>
      </c>
      <c r="K21" s="11">
        <v>6.6699999999999995E-2</v>
      </c>
      <c r="L21" s="11">
        <v>6.2899999999999998E-2</v>
      </c>
      <c r="M21" s="11">
        <v>7.0400000000000004E-2</v>
      </c>
      <c r="N21" s="11">
        <v>9.1999999999999998E-3</v>
      </c>
      <c r="O21" s="11">
        <v>6.4999999999999997E-3</v>
      </c>
      <c r="P21" s="11">
        <v>1.1900000000000001E-2</v>
      </c>
      <c r="Q21" s="11">
        <v>7.2580999999999998</v>
      </c>
      <c r="R21" s="11">
        <v>5.31</v>
      </c>
      <c r="S21" s="11">
        <v>10.8</v>
      </c>
      <c r="T21" s="16">
        <f xml:space="preserve"> 1/(Constants!$B$2*Constants!$B$4*((A21/1000)^2)*Q21)</f>
        <v>8.7204945619501281E-8</v>
      </c>
      <c r="U21" s="16">
        <f xml:space="preserve"> 1/(Constants!$B$2*Constants!$B$4*((A21/1000)^2)*S21)</f>
        <v>5.8605760722305756E-8</v>
      </c>
      <c r="V21" s="16">
        <f xml:space="preserve"> 1/(Constants!$B$2*Constants!$B$4*((A21/1000)^2)*R21)</f>
        <v>1.1919815740129986E-7</v>
      </c>
    </row>
    <row r="22" spans="1:22" x14ac:dyDescent="0.35">
      <c r="E22" s="5"/>
      <c r="F22" s="2"/>
      <c r="G22" s="5"/>
      <c r="P22" s="2"/>
      <c r="Q22" s="2"/>
    </row>
    <row r="23" spans="1:22" x14ac:dyDescent="0.35">
      <c r="F23" s="2"/>
    </row>
    <row r="24" spans="1:22" x14ac:dyDescent="0.35">
      <c r="F24" s="2"/>
    </row>
    <row r="25" spans="1:22" x14ac:dyDescent="0.35">
      <c r="F25" s="2"/>
    </row>
    <row r="26" spans="1:22" x14ac:dyDescent="0.35">
      <c r="F26" s="2"/>
    </row>
    <row r="27" spans="1:22" x14ac:dyDescent="0.35">
      <c r="F27" s="2"/>
    </row>
    <row r="28" spans="1:22" x14ac:dyDescent="0.35">
      <c r="F28" s="12"/>
    </row>
    <row r="29" spans="1:22" x14ac:dyDescent="0.35">
      <c r="F29" s="2"/>
    </row>
    <row r="30" spans="1:22" x14ac:dyDescent="0.35">
      <c r="F30" s="2"/>
    </row>
    <row r="31" spans="1:22" x14ac:dyDescent="0.35">
      <c r="F31" s="2"/>
    </row>
    <row r="32" spans="1:22" x14ac:dyDescent="0.35">
      <c r="F32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zoomScale="70" zoomScaleNormal="70" workbookViewId="0">
      <selection activeCell="S25" sqref="S25"/>
    </sheetView>
  </sheetViews>
  <sheetFormatPr baseColWidth="10" defaultColWidth="8.7265625" defaultRowHeight="14.5" x14ac:dyDescent="0.35"/>
  <cols>
    <col min="1" max="1" width="10.6328125" customWidth="1"/>
    <col min="2" max="2" width="11.36328125" customWidth="1"/>
    <col min="3" max="3" width="6" customWidth="1"/>
    <col min="4" max="4" width="8.08984375" customWidth="1"/>
    <col min="5" max="5" width="10.54296875" customWidth="1"/>
    <col min="6" max="6" width="13.54296875" customWidth="1"/>
    <col min="7" max="7" width="14" customWidth="1"/>
    <col min="8" max="8" width="10.36328125" customWidth="1"/>
    <col min="9" max="9" width="8.90625" customWidth="1"/>
    <col min="10" max="10" width="9.81640625" customWidth="1"/>
    <col min="11" max="11" width="11.36328125" customWidth="1"/>
    <col min="12" max="12" width="10.08984375" customWidth="1"/>
    <col min="13" max="13" width="10.6328125" customWidth="1"/>
    <col min="14" max="14" width="14.453125" customWidth="1"/>
    <col min="15" max="15" width="14" customWidth="1"/>
    <col min="16" max="16" width="13.26953125" customWidth="1"/>
    <col min="17" max="17" width="10.08984375" customWidth="1"/>
    <col min="18" max="18" width="9.81640625" customWidth="1"/>
    <col min="19" max="19" width="10.36328125" customWidth="1"/>
    <col min="20" max="20" width="12.36328125" customWidth="1"/>
    <col min="21" max="21" width="13.54296875" customWidth="1"/>
    <col min="22" max="22" width="11.81640625" customWidth="1"/>
  </cols>
  <sheetData>
    <row r="1" spans="1:22" s="1" customFormat="1" x14ac:dyDescent="0.35">
      <c r="A1" s="1" t="s">
        <v>14</v>
      </c>
      <c r="B1" s="1" t="s">
        <v>1</v>
      </c>
      <c r="C1" s="1" t="s">
        <v>0</v>
      </c>
      <c r="D1" s="1" t="s">
        <v>2</v>
      </c>
      <c r="E1" s="1" t="s">
        <v>8</v>
      </c>
      <c r="F1" s="1" t="s">
        <v>37</v>
      </c>
      <c r="G1" s="1" t="s">
        <v>54</v>
      </c>
      <c r="H1" s="3" t="s">
        <v>30</v>
      </c>
      <c r="I1" s="3" t="s">
        <v>34</v>
      </c>
      <c r="J1" s="3" t="s">
        <v>35</v>
      </c>
      <c r="K1" s="3" t="s">
        <v>31</v>
      </c>
      <c r="L1" s="3" t="s">
        <v>32</v>
      </c>
      <c r="M1" s="3" t="s">
        <v>33</v>
      </c>
      <c r="N1" s="3" t="s">
        <v>27</v>
      </c>
      <c r="O1" s="3" t="s">
        <v>28</v>
      </c>
      <c r="P1" s="3" t="s">
        <v>29</v>
      </c>
      <c r="Q1" s="3" t="s">
        <v>3</v>
      </c>
      <c r="R1" s="3" t="s">
        <v>4</v>
      </c>
      <c r="S1" s="3" t="s">
        <v>5</v>
      </c>
      <c r="T1" s="3" t="s">
        <v>9</v>
      </c>
      <c r="U1" s="3" t="s">
        <v>10</v>
      </c>
      <c r="V1" s="3" t="s">
        <v>11</v>
      </c>
    </row>
    <row r="2" spans="1:22" s="17" customFormat="1" x14ac:dyDescent="0.35">
      <c r="A2" s="17">
        <v>5</v>
      </c>
      <c r="B2" s="18">
        <v>44229</v>
      </c>
      <c r="C2" s="17">
        <v>2</v>
      </c>
      <c r="D2" s="17">
        <v>200</v>
      </c>
      <c r="E2" s="17" t="s">
        <v>6</v>
      </c>
      <c r="F2" s="17">
        <v>1</v>
      </c>
      <c r="G2" s="17" t="s">
        <v>7</v>
      </c>
      <c r="H2" s="19">
        <v>0.38940000000000002</v>
      </c>
      <c r="I2" s="19">
        <v>0.38740000000000002</v>
      </c>
      <c r="J2" s="19">
        <v>0.3931</v>
      </c>
      <c r="K2" s="19">
        <v>8.5199999999999998E-2</v>
      </c>
      <c r="L2" s="19">
        <v>8.1299999999999997E-2</v>
      </c>
      <c r="M2" s="19">
        <v>8.8999999999999996E-2</v>
      </c>
      <c r="N2" s="19">
        <v>5.1999999999999998E-3</v>
      </c>
      <c r="O2" s="19">
        <v>1.1999999999999999E-3</v>
      </c>
      <c r="P2" s="19">
        <v>7.9000000000000008E-3</v>
      </c>
      <c r="Q2" s="19">
        <v>16.411799999999999</v>
      </c>
      <c r="R2" s="19">
        <v>10.2462</v>
      </c>
      <c r="S2" s="19">
        <v>72.900000000000006</v>
      </c>
      <c r="T2" s="20">
        <f xml:space="preserve"> 1/(Constants!$B$2*Constants!$B$4*((A2/1000)^2)*Q2)</f>
        <v>1.5426515453537147E-5</v>
      </c>
      <c r="U2" s="20">
        <f xml:space="preserve"> 1/(Constants!$B$2*Constants!$B$4*((A2/1000)^2)*S2)</f>
        <v>3.4729339687292308E-6</v>
      </c>
      <c r="V2" s="20">
        <f xml:space="preserve"> 1/(Constants!$B$2*Constants!$B$4*((A2/1000)^2)*R2)</f>
        <v>2.4709344568753386E-5</v>
      </c>
    </row>
    <row r="3" spans="1:22" s="2" customFormat="1" x14ac:dyDescent="0.35">
      <c r="A3" s="2">
        <v>10</v>
      </c>
      <c r="B3" s="4">
        <v>44231</v>
      </c>
      <c r="C3" s="2">
        <v>12</v>
      </c>
      <c r="D3" s="2">
        <v>300</v>
      </c>
      <c r="E3" s="2" t="s">
        <v>6</v>
      </c>
      <c r="F3" s="2">
        <v>1</v>
      </c>
      <c r="G3" s="2" t="s">
        <v>7</v>
      </c>
      <c r="H3" s="11">
        <v>0.439</v>
      </c>
      <c r="I3" s="11">
        <v>0.438</v>
      </c>
      <c r="J3" s="11">
        <v>0.44009999999999999</v>
      </c>
      <c r="K3" s="11">
        <v>7.5200000000000003E-2</v>
      </c>
      <c r="L3" s="11">
        <v>7.3700000000000002E-2</v>
      </c>
      <c r="M3" s="11">
        <v>7.6600000000000001E-2</v>
      </c>
      <c r="N3" s="11">
        <v>2.8999999999999998E-3</v>
      </c>
      <c r="O3" s="11">
        <v>1.1000000000000001E-3</v>
      </c>
      <c r="P3" s="11">
        <v>3.7000000000000002E-3</v>
      </c>
      <c r="Q3" s="11">
        <v>25.690899999999999</v>
      </c>
      <c r="R3" s="11">
        <v>19.8</v>
      </c>
      <c r="S3" s="11">
        <v>72</v>
      </c>
      <c r="T3" s="16">
        <f xml:space="preserve"> 1/(Constants!$B$2*Constants!$B$4*((A3/1000)^2)*Q3)</f>
        <v>2.4636825327291077E-6</v>
      </c>
      <c r="U3" s="16">
        <f xml:space="preserve"> 1/(Constants!$B$2*Constants!$B$4*((A3/1000)^2)*S3)</f>
        <v>8.7908641083458656E-7</v>
      </c>
      <c r="V3" s="16">
        <f xml:space="preserve"> 1/(Constants!$B$2*Constants!$B$4*((A3/1000)^2)*R3)</f>
        <v>3.1966778575803148E-6</v>
      </c>
    </row>
    <row r="4" spans="1:22" s="17" customFormat="1" x14ac:dyDescent="0.35">
      <c r="A4" s="17">
        <v>15</v>
      </c>
      <c r="B4" s="18">
        <v>44232</v>
      </c>
      <c r="C4" s="17">
        <v>8</v>
      </c>
      <c r="D4" s="17">
        <v>265</v>
      </c>
      <c r="E4" s="17" t="s">
        <v>7</v>
      </c>
      <c r="F4" s="17" t="s">
        <v>55</v>
      </c>
      <c r="G4" s="17" t="s">
        <v>7</v>
      </c>
      <c r="H4" s="19">
        <v>0.43959999999999999</v>
      </c>
      <c r="I4" s="19">
        <v>0.43819999999999998</v>
      </c>
      <c r="J4" s="19">
        <v>0.441</v>
      </c>
      <c r="K4" s="19">
        <v>6.0100000000000001E-2</v>
      </c>
      <c r="L4" s="19">
        <v>5.8200000000000002E-2</v>
      </c>
      <c r="M4" s="19">
        <v>6.2100000000000002E-2</v>
      </c>
      <c r="N4" s="19">
        <v>3.2000000000000002E-3</v>
      </c>
      <c r="O4" s="19">
        <v>1.2999999999999999E-3</v>
      </c>
      <c r="P4" s="19">
        <v>4.3E-3</v>
      </c>
      <c r="Q4" s="19">
        <v>18.600000000000001</v>
      </c>
      <c r="R4" s="19">
        <v>13.5</v>
      </c>
      <c r="S4" s="19">
        <v>48</v>
      </c>
      <c r="T4" s="20">
        <f xml:space="preserve"> 1/(Constants!$B$2*Constants!$B$4*((A4/1000)^2)*Q4)</f>
        <v>1.5124067283175683E-6</v>
      </c>
      <c r="U4" s="20">
        <f xml:space="preserve"> 1/(Constants!$B$2*Constants!$B$4*((A4/1000)^2)*S4)</f>
        <v>5.8605760722305771E-7</v>
      </c>
      <c r="V4" s="20">
        <f xml:space="preserve"> 1/(Constants!$B$2*Constants!$B$4*((A4/1000)^2)*R4)</f>
        <v>2.0837603812375386E-6</v>
      </c>
    </row>
    <row r="5" spans="1:22" s="2" customFormat="1" x14ac:dyDescent="0.35">
      <c r="A5" s="2">
        <v>20</v>
      </c>
      <c r="B5" s="4">
        <v>44229</v>
      </c>
      <c r="C5" s="2">
        <v>4</v>
      </c>
      <c r="D5" s="2">
        <v>350</v>
      </c>
      <c r="E5" s="2" t="s">
        <v>6</v>
      </c>
      <c r="F5" s="2">
        <v>1</v>
      </c>
      <c r="G5" s="2" t="s">
        <v>7</v>
      </c>
      <c r="H5" s="11">
        <v>0.42609999999999998</v>
      </c>
      <c r="I5" s="11">
        <v>0.42530000000000001</v>
      </c>
      <c r="J5" s="11">
        <v>0.42699999999999999</v>
      </c>
      <c r="K5" s="11">
        <v>3.2800000000000003E-2</v>
      </c>
      <c r="L5" s="11">
        <v>3.1600000000000003E-2</v>
      </c>
      <c r="M5" s="11">
        <v>3.39E-2</v>
      </c>
      <c r="N5" s="11">
        <v>3.3999999999999998E-3</v>
      </c>
      <c r="O5" s="11">
        <v>2E-3</v>
      </c>
      <c r="P5" s="11">
        <v>4.3E-3</v>
      </c>
      <c r="Q5" s="11">
        <v>9.5333000000000006</v>
      </c>
      <c r="R5" s="11">
        <v>7.3059000000000003</v>
      </c>
      <c r="S5" s="11">
        <v>16.649999999999999</v>
      </c>
      <c r="T5" s="16">
        <f xml:space="preserve"> 1/(Constants!$B$2*Constants!$B$4*((A5/1000)^2)*Q5)</f>
        <v>1.6598193065384029E-6</v>
      </c>
      <c r="U5" s="16">
        <f xml:space="preserve"> 1/(Constants!$B$2*Constants!$B$4*((A5/1000)^2)*S5)</f>
        <v>9.5036368738874231E-7</v>
      </c>
      <c r="V5" s="16">
        <f xml:space="preserve"> 1/(Constants!$B$2*Constants!$B$4*((A5/1000)^2)*R5)</f>
        <v>2.165859838626666E-6</v>
      </c>
    </row>
    <row r="6" spans="1:22" s="17" customFormat="1" x14ac:dyDescent="0.35">
      <c r="A6" s="17">
        <v>25</v>
      </c>
      <c r="B6" s="18">
        <v>44230</v>
      </c>
      <c r="C6" s="17">
        <v>1</v>
      </c>
      <c r="D6" s="17">
        <v>320</v>
      </c>
      <c r="E6" s="17" t="s">
        <v>6</v>
      </c>
      <c r="F6" s="17">
        <v>1</v>
      </c>
      <c r="G6" s="17" t="s">
        <v>7</v>
      </c>
      <c r="H6" s="19">
        <v>0.44950000000000001</v>
      </c>
      <c r="I6" s="19">
        <v>0.44829999999999998</v>
      </c>
      <c r="J6" s="19">
        <v>0.45079999999999998</v>
      </c>
      <c r="K6" s="19">
        <v>1.9900000000000001E-2</v>
      </c>
      <c r="L6" s="19">
        <v>1.8200000000000001E-2</v>
      </c>
      <c r="M6" s="19">
        <v>2.1499999999999998E-2</v>
      </c>
      <c r="N6" s="19">
        <v>5.7000000000000002E-3</v>
      </c>
      <c r="O6" s="19">
        <v>4.3E-3</v>
      </c>
      <c r="P6" s="19">
        <v>7.0000000000000001E-3</v>
      </c>
      <c r="Q6" s="19">
        <v>3.5017999999999998</v>
      </c>
      <c r="R6" s="19">
        <v>2.5941000000000001</v>
      </c>
      <c r="S6" s="19">
        <v>4.9714</v>
      </c>
      <c r="T6" s="20">
        <f xml:space="preserve"> 1/(Constants!$B$2*Constants!$B$4*((A6/1000)^2)*Q6)</f>
        <v>2.8919628342036772E-6</v>
      </c>
      <c r="U6" s="20">
        <f xml:space="preserve"> 1/(Constants!$B$2*Constants!$B$4*((A6/1000)^2)*S6)</f>
        <v>2.0370671144575844E-6</v>
      </c>
      <c r="V6" s="20">
        <f xml:space="preserve"> 1/(Constants!$B$2*Constants!$B$4*((A6/1000)^2)*R6)</f>
        <v>3.9038878427255834E-6</v>
      </c>
    </row>
    <row r="7" spans="1:22" s="2" customFormat="1" x14ac:dyDescent="0.35">
      <c r="A7" s="2">
        <v>30</v>
      </c>
      <c r="B7" s="4">
        <v>44229</v>
      </c>
      <c r="C7" s="2">
        <v>6</v>
      </c>
      <c r="D7" s="2">
        <v>350</v>
      </c>
      <c r="E7" s="2" t="s">
        <v>6</v>
      </c>
      <c r="F7" s="2">
        <v>1</v>
      </c>
      <c r="G7" s="2" t="s">
        <v>7</v>
      </c>
      <c r="H7" s="11">
        <v>0.44259999999999999</v>
      </c>
      <c r="I7" s="11">
        <v>0.44140000000000001</v>
      </c>
      <c r="J7" s="11">
        <v>0.44379999999999997</v>
      </c>
      <c r="K7" s="11">
        <v>8.3400000000000002E-2</v>
      </c>
      <c r="L7" s="11">
        <v>8.1699999999999995E-2</v>
      </c>
      <c r="M7" s="11">
        <v>8.5000000000000006E-2</v>
      </c>
      <c r="N7" s="11">
        <v>3.3E-3</v>
      </c>
      <c r="O7" s="11">
        <v>1.1999999999999999E-3</v>
      </c>
      <c r="P7" s="11">
        <v>4.1999999999999997E-3</v>
      </c>
      <c r="Q7" s="11">
        <v>25.0364</v>
      </c>
      <c r="R7" s="11">
        <v>19.285699999999999</v>
      </c>
      <c r="S7" s="11">
        <v>70.2</v>
      </c>
      <c r="T7" s="16">
        <f xml:space="preserve"> 1/(Constants!$B$2*Constants!$B$4*((A7/1000)^2)*Q7)</f>
        <v>2.8089866301371976E-7</v>
      </c>
      <c r="U7" s="16">
        <f xml:space="preserve"> 1/(Constants!$B$2*Constants!$B$4*((A7/1000)^2)*S7)</f>
        <v>1.0018078755949705E-7</v>
      </c>
      <c r="V7" s="16">
        <f xml:space="preserve"> 1/(Constants!$B$2*Constants!$B$4*((A7/1000)^2)*R7)</f>
        <v>3.6465833683385585E-7</v>
      </c>
    </row>
    <row r="8" spans="1:22" s="17" customFormat="1" x14ac:dyDescent="0.35">
      <c r="A8" s="17">
        <v>35</v>
      </c>
      <c r="B8" s="18">
        <v>44235</v>
      </c>
      <c r="C8" s="17">
        <v>1</v>
      </c>
      <c r="D8" s="17">
        <v>200</v>
      </c>
      <c r="E8" s="17" t="s">
        <v>6</v>
      </c>
      <c r="F8" s="17">
        <v>1</v>
      </c>
      <c r="G8" s="17" t="s">
        <v>7</v>
      </c>
      <c r="H8" s="19">
        <v>0.45579999999999998</v>
      </c>
      <c r="I8" s="19">
        <v>0.45379999999999998</v>
      </c>
      <c r="J8" s="19">
        <v>0.45789999999999997</v>
      </c>
      <c r="K8" s="19">
        <v>8.8400000000000006E-2</v>
      </c>
      <c r="L8" s="19">
        <v>8.5599999999999996E-2</v>
      </c>
      <c r="M8" s="19">
        <v>9.11E-2</v>
      </c>
      <c r="N8" s="19">
        <v>2.7000000000000001E-3</v>
      </c>
      <c r="O8" s="19">
        <v>0</v>
      </c>
      <c r="P8" s="19">
        <v>4.8999999999999998E-3</v>
      </c>
      <c r="Q8" s="19">
        <v>32.200000000000003</v>
      </c>
      <c r="R8" s="19">
        <v>17.55</v>
      </c>
      <c r="S8" s="19" t="s">
        <v>56</v>
      </c>
      <c r="T8" s="20">
        <f xml:space="preserve"> 1/(Constants!$B$2*Constants!$B$4*((A8/1000)^2)*Q8)</f>
        <v>1.6046196369651469E-7</v>
      </c>
      <c r="U8" s="20" t="e">
        <f xml:space="preserve"> 1/(Constants!$B$2*Constants!$B$4*((A8/1000)^2)*S8)</f>
        <v>#VALUE!</v>
      </c>
      <c r="V8" s="20">
        <f xml:space="preserve"> 1/(Constants!$B$2*Constants!$B$4*((A8/1000)^2)*R8)</f>
        <v>2.9440884507280761E-7</v>
      </c>
    </row>
    <row r="9" spans="1:22" s="2" customFormat="1" x14ac:dyDescent="0.35">
      <c r="A9" s="2">
        <v>40</v>
      </c>
      <c r="B9" s="4">
        <v>44237</v>
      </c>
      <c r="C9" s="2">
        <v>1</v>
      </c>
      <c r="D9" s="2">
        <v>300</v>
      </c>
      <c r="E9" s="2" t="s">
        <v>6</v>
      </c>
      <c r="F9" s="2">
        <v>1</v>
      </c>
      <c r="G9" s="2" t="s">
        <v>7</v>
      </c>
      <c r="H9" s="11">
        <v>0.47360000000000002</v>
      </c>
      <c r="I9" s="11">
        <v>0.47249999999999998</v>
      </c>
      <c r="J9" s="11">
        <v>0.47470000000000001</v>
      </c>
      <c r="K9" s="11">
        <v>7.7200000000000005E-2</v>
      </c>
      <c r="L9" s="11">
        <v>7.5700000000000003E-2</v>
      </c>
      <c r="M9" s="11">
        <v>7.8700000000000006E-2</v>
      </c>
      <c r="N9" s="11">
        <v>3.0000000000000001E-3</v>
      </c>
      <c r="O9" s="11">
        <v>1.6000000000000001E-3</v>
      </c>
      <c r="P9" s="11">
        <v>4.4000000000000003E-3</v>
      </c>
      <c r="Q9" s="11">
        <v>25.690899999999999</v>
      </c>
      <c r="R9" s="11">
        <v>17.324999999999999</v>
      </c>
      <c r="S9" s="11">
        <v>48</v>
      </c>
      <c r="T9" s="16">
        <f xml:space="preserve"> 1/(Constants!$B$2*Constants!$B$4*((A9/1000)^2)*Q9)</f>
        <v>1.5398015829556923E-7</v>
      </c>
      <c r="U9" s="16">
        <f xml:space="preserve"> 1/(Constants!$B$2*Constants!$B$4*((A9/1000)^2)*S9)</f>
        <v>8.2414351015742493E-8</v>
      </c>
      <c r="V9" s="16">
        <f xml:space="preserve"> 1/(Constants!$B$2*Constants!$B$4*((A9/1000)^2)*R9)</f>
        <v>2.2833413268430819E-7</v>
      </c>
    </row>
    <row r="10" spans="1:22" s="17" customFormat="1" x14ac:dyDescent="0.35">
      <c r="A10" s="17">
        <v>45</v>
      </c>
      <c r="B10" s="18">
        <v>44235</v>
      </c>
      <c r="C10" s="17">
        <v>2</v>
      </c>
      <c r="D10" s="17">
        <v>300</v>
      </c>
      <c r="E10" s="17" t="s">
        <v>7</v>
      </c>
      <c r="F10" s="17">
        <v>1</v>
      </c>
      <c r="G10" s="17" t="s">
        <v>7</v>
      </c>
      <c r="H10" s="19">
        <v>0.45889999999999997</v>
      </c>
      <c r="I10" s="19">
        <v>0.45669999999999999</v>
      </c>
      <c r="J10" s="19">
        <v>0.46100000000000002</v>
      </c>
      <c r="K10" s="19">
        <v>8.9200000000000002E-2</v>
      </c>
      <c r="L10" s="19">
        <v>8.6300000000000002E-2</v>
      </c>
      <c r="M10" s="19">
        <v>9.2100000000000001E-2</v>
      </c>
      <c r="N10" s="19">
        <v>4.8999999999999998E-3</v>
      </c>
      <c r="O10" s="19">
        <v>2.5999999999999999E-3</v>
      </c>
      <c r="P10" s="19">
        <v>7.1000000000000004E-3</v>
      </c>
      <c r="Q10" s="19">
        <v>18.36</v>
      </c>
      <c r="R10" s="19">
        <v>12.1091</v>
      </c>
      <c r="S10" s="19">
        <v>35.549999999999997</v>
      </c>
      <c r="T10" s="20">
        <f xml:space="preserve"> 1/(Constants!$B$2*Constants!$B$4*((A10/1000)^2)*Q10)</f>
        <v>1.7024186121221724E-7</v>
      </c>
      <c r="U10" s="20">
        <f xml:space="preserve"> 1/(Constants!$B$2*Constants!$B$4*((A10/1000)^2)*S10)</f>
        <v>8.792237895517042E-8</v>
      </c>
      <c r="V10" s="20">
        <f xml:space="preserve"> 1/(Constants!$B$2*Constants!$B$4*((A10/1000)^2)*R10)</f>
        <v>2.5812327686255034E-7</v>
      </c>
    </row>
    <row r="11" spans="1:22" s="2" customFormat="1" x14ac:dyDescent="0.35">
      <c r="A11" s="2">
        <v>50</v>
      </c>
      <c r="B11" s="4">
        <v>44235</v>
      </c>
      <c r="C11" s="2">
        <v>4</v>
      </c>
      <c r="D11" s="2">
        <v>300</v>
      </c>
      <c r="E11" s="2" t="s">
        <v>6</v>
      </c>
      <c r="F11" s="2">
        <v>1</v>
      </c>
      <c r="G11" s="2" t="s">
        <v>7</v>
      </c>
      <c r="H11" s="11">
        <v>0.47539999999999999</v>
      </c>
      <c r="I11" s="11">
        <v>0.47449999999999998</v>
      </c>
      <c r="J11" s="11">
        <v>0.47749999999999998</v>
      </c>
      <c r="K11" s="11">
        <v>6.1400000000000003E-2</v>
      </c>
      <c r="L11" s="11">
        <v>5.9400000000000001E-2</v>
      </c>
      <c r="M11" s="11">
        <v>6.3500000000000001E-2</v>
      </c>
      <c r="N11" s="11">
        <v>3.3999999999999998E-3</v>
      </c>
      <c r="O11" s="11">
        <v>2.3E-3</v>
      </c>
      <c r="P11" s="11">
        <v>4.5999999999999999E-3</v>
      </c>
      <c r="Q11" s="11">
        <v>17.88</v>
      </c>
      <c r="R11" s="11">
        <v>12.96</v>
      </c>
      <c r="S11" s="11">
        <v>27.72</v>
      </c>
      <c r="T11" s="16">
        <f xml:space="preserve"> 1/(Constants!$B$2*Constants!$B$4*((A11/1000)^2)*Q11)</f>
        <v>1.4159781114114144E-7</v>
      </c>
      <c r="U11" s="16">
        <f xml:space="preserve"> 1/(Constants!$B$2*Constants!$B$4*((A11/1000)^2)*S11)</f>
        <v>9.1333653073723274E-8</v>
      </c>
      <c r="V11" s="16">
        <f xml:space="preserve"> 1/(Constants!$B$2*Constants!$B$4*((A11/1000)^2)*R11)</f>
        <v>1.953525357410192E-7</v>
      </c>
    </row>
    <row r="12" spans="1:22" s="17" customFormat="1" x14ac:dyDescent="0.35">
      <c r="A12" s="17">
        <v>55</v>
      </c>
      <c r="B12" s="18">
        <v>44235</v>
      </c>
      <c r="C12" s="17">
        <v>6</v>
      </c>
      <c r="D12" s="17">
        <v>150</v>
      </c>
      <c r="E12" s="17" t="s">
        <v>6</v>
      </c>
      <c r="F12" s="17">
        <v>1</v>
      </c>
      <c r="G12" s="17" t="s">
        <v>7</v>
      </c>
      <c r="H12" s="19">
        <v>0.49419999999999997</v>
      </c>
      <c r="I12" s="19">
        <v>0.49099999999999999</v>
      </c>
      <c r="J12" s="19">
        <v>0.49740000000000001</v>
      </c>
      <c r="K12" s="19">
        <v>5.8299999999999998E-2</v>
      </c>
      <c r="L12" s="19">
        <v>5.4800000000000001E-2</v>
      </c>
      <c r="M12" s="19">
        <v>6.1899999999999997E-2</v>
      </c>
      <c r="N12" s="19">
        <v>6.4000000000000003E-3</v>
      </c>
      <c r="O12" s="19">
        <v>3.5000000000000001E-3</v>
      </c>
      <c r="P12" s="19">
        <v>9.2999999999999992E-3</v>
      </c>
      <c r="Q12" s="19">
        <v>9.1241000000000003</v>
      </c>
      <c r="R12" s="19">
        <v>5.9142999999999999</v>
      </c>
      <c r="S12" s="19">
        <v>17.55</v>
      </c>
      <c r="T12" s="20">
        <f xml:space="preserve"> 1/(Constants!$B$2*Constants!$B$4*((A12/1000)^2)*Q12)</f>
        <v>2.2932354548123069E-7</v>
      </c>
      <c r="U12" s="20">
        <f xml:space="preserve"> 1/(Constants!$B$2*Constants!$B$4*((A12/1000)^2)*S12)</f>
        <v>1.1922341659973203E-7</v>
      </c>
      <c r="V12" s="20">
        <f xml:space="preserve"> 1/(Constants!$B$2*Constants!$B$4*((A12/1000)^2)*R12)</f>
        <v>3.5378167514757407E-7</v>
      </c>
    </row>
    <row r="13" spans="1:22" s="2" customFormat="1" x14ac:dyDescent="0.35">
      <c r="A13" s="2">
        <v>60</v>
      </c>
      <c r="B13" s="4">
        <v>44235</v>
      </c>
      <c r="C13" s="2">
        <v>7</v>
      </c>
      <c r="D13" s="2">
        <v>300</v>
      </c>
      <c r="E13" s="2" t="s">
        <v>6</v>
      </c>
      <c r="F13" s="2">
        <v>1</v>
      </c>
      <c r="G13" s="2" t="s">
        <v>7</v>
      </c>
      <c r="H13" s="11">
        <v>0.49980000000000002</v>
      </c>
      <c r="I13" s="11">
        <v>0.498</v>
      </c>
      <c r="J13" s="11">
        <v>0.50149999999999995</v>
      </c>
      <c r="K13" s="11">
        <v>6.8199999999999997E-2</v>
      </c>
      <c r="L13" s="11">
        <v>6.5799999999999997E-2</v>
      </c>
      <c r="M13" s="11">
        <v>7.0599999999999996E-2</v>
      </c>
      <c r="N13" s="11">
        <v>6.1000000000000004E-3</v>
      </c>
      <c r="O13" s="11">
        <v>4.1999999999999997E-3</v>
      </c>
      <c r="P13" s="11">
        <v>8.0000000000000002E-3</v>
      </c>
      <c r="Q13" s="11">
        <v>11.1913</v>
      </c>
      <c r="R13" s="11">
        <v>8.2799999999999994</v>
      </c>
      <c r="S13" s="11">
        <v>16.649999999999999</v>
      </c>
      <c r="T13" s="16">
        <f xml:space="preserve"> 1/(Constants!$B$2*Constants!$B$4*((A13/1000)^2)*Q13)</f>
        <v>1.5710175061602969E-7</v>
      </c>
      <c r="U13" s="16">
        <f xml:space="preserve"> 1/(Constants!$B$2*Constants!$B$4*((A13/1000)^2)*S13)</f>
        <v>1.0559596526541581E-7</v>
      </c>
      <c r="V13" s="16">
        <f xml:space="preserve"> 1/(Constants!$B$2*Constants!$B$4*((A13/1000)^2)*R13)</f>
        <v>2.1233971276197747E-7</v>
      </c>
    </row>
    <row r="14" spans="1:22" s="17" customFormat="1" x14ac:dyDescent="0.35">
      <c r="A14" s="17">
        <v>65</v>
      </c>
      <c r="B14" s="18">
        <v>44236</v>
      </c>
      <c r="C14" s="17">
        <v>1</v>
      </c>
      <c r="D14" s="17">
        <v>332</v>
      </c>
      <c r="E14" s="17" t="s">
        <v>6</v>
      </c>
      <c r="F14" s="17">
        <v>1</v>
      </c>
      <c r="G14" s="17" t="s">
        <v>7</v>
      </c>
      <c r="H14" s="19">
        <v>0.50670000000000004</v>
      </c>
      <c r="I14" s="19">
        <v>0.50470000000000004</v>
      </c>
      <c r="J14" s="19">
        <v>0.50860000000000005</v>
      </c>
      <c r="K14" s="19">
        <v>4.2799999999999998E-2</v>
      </c>
      <c r="L14" s="19">
        <v>4.0099999999999997E-2</v>
      </c>
      <c r="M14" s="19">
        <v>4.5400000000000003E-2</v>
      </c>
      <c r="N14" s="19">
        <v>7.4000000000000003E-3</v>
      </c>
      <c r="O14" s="19">
        <v>5.0000000000000001E-3</v>
      </c>
      <c r="P14" s="19">
        <v>8.8000000000000005E-3</v>
      </c>
      <c r="Q14" s="19">
        <v>5.8113999999999999</v>
      </c>
      <c r="R14" s="19">
        <v>4.5429000000000004</v>
      </c>
      <c r="S14" s="19">
        <v>9</v>
      </c>
      <c r="T14" s="20">
        <f xml:space="preserve"> 1/(Constants!$B$2*Constants!$B$4*((A14/1000)^2)*Q14)</f>
        <v>2.5778436946963958E-7</v>
      </c>
      <c r="U14" s="20">
        <f xml:space="preserve"> 1/(Constants!$B$2*Constants!$B$4*((A14/1000)^2)*S14)</f>
        <v>1.6645423163731816E-7</v>
      </c>
      <c r="V14" s="20">
        <f xml:space="preserve"> 1/(Constants!$B$2*Constants!$B$4*((A14/1000)^2)*R14)</f>
        <v>3.2976470640689057E-7</v>
      </c>
    </row>
    <row r="15" spans="1:22" s="2" customFormat="1" x14ac:dyDescent="0.35">
      <c r="A15" s="2">
        <v>70</v>
      </c>
      <c r="B15" s="4">
        <v>44236</v>
      </c>
      <c r="C15" s="2">
        <v>2</v>
      </c>
      <c r="D15" s="2">
        <v>300</v>
      </c>
      <c r="E15" s="2" t="s">
        <v>6</v>
      </c>
      <c r="F15" s="2">
        <v>1</v>
      </c>
      <c r="G15" s="2" t="s">
        <v>7</v>
      </c>
      <c r="H15" s="11">
        <v>0.50329999999999997</v>
      </c>
      <c r="I15" s="11">
        <v>0.50139999999999996</v>
      </c>
      <c r="J15" s="11">
        <v>0.50519999999999998</v>
      </c>
      <c r="K15" s="11">
        <v>7.5899999999999995E-2</v>
      </c>
      <c r="L15" s="11">
        <v>7.3300000000000004E-2</v>
      </c>
      <c r="M15" s="11">
        <v>7.85E-2</v>
      </c>
      <c r="N15" s="11">
        <v>4.8999999999999998E-3</v>
      </c>
      <c r="O15" s="11">
        <v>2.3E-3</v>
      </c>
      <c r="P15" s="11">
        <v>6.3E-3</v>
      </c>
      <c r="Q15" s="11">
        <v>15.5647</v>
      </c>
      <c r="R15" s="11">
        <v>11.6182</v>
      </c>
      <c r="S15" s="11">
        <v>34.200000000000003</v>
      </c>
      <c r="T15" s="16">
        <f xml:space="preserve"> 1/(Constants!$B$2*Constants!$B$4*((A15/1000)^2)*Q15)</f>
        <v>8.2990279784187507E-8</v>
      </c>
      <c r="U15" s="16">
        <f xml:space="preserve"> 1/(Constants!$B$2*Constants!$B$4*((A15/1000)^2)*S15)</f>
        <v>3.7769555782366767E-8</v>
      </c>
      <c r="V15" s="16">
        <f xml:space="preserve"> 1/(Constants!$B$2*Constants!$B$4*((A15/1000)^2)*R15)</f>
        <v>1.1118063105790426E-7</v>
      </c>
    </row>
    <row r="16" spans="1:22" s="17" customFormat="1" x14ac:dyDescent="0.35">
      <c r="A16" s="17">
        <v>75</v>
      </c>
      <c r="B16" s="18">
        <v>44236</v>
      </c>
      <c r="C16" s="17">
        <v>3</v>
      </c>
      <c r="D16" s="17">
        <v>300</v>
      </c>
      <c r="E16" s="17" t="s">
        <v>6</v>
      </c>
      <c r="F16" s="17">
        <v>1</v>
      </c>
      <c r="G16" s="17" t="s">
        <v>7</v>
      </c>
      <c r="H16" s="19">
        <v>0.49580000000000002</v>
      </c>
      <c r="I16" s="19">
        <v>0.4929</v>
      </c>
      <c r="J16" s="19">
        <v>0.49859999999999999</v>
      </c>
      <c r="K16" s="19">
        <v>4.9200000000000001E-2</v>
      </c>
      <c r="L16" s="19">
        <v>4.53E-2</v>
      </c>
      <c r="M16" s="19">
        <v>5.2999999999999999E-2</v>
      </c>
      <c r="N16" s="19">
        <v>1.3100000000000001E-2</v>
      </c>
      <c r="O16" s="19">
        <v>9.4999999999999998E-3</v>
      </c>
      <c r="P16" s="19">
        <v>1.5699999999999999E-2</v>
      </c>
      <c r="Q16" s="19">
        <v>3.7635999999999998</v>
      </c>
      <c r="R16" s="19">
        <v>2.8908999999999998</v>
      </c>
      <c r="S16" s="19">
        <v>5.58</v>
      </c>
      <c r="T16" s="20">
        <f xml:space="preserve"> 1/(Constants!$B$2*Constants!$B$4*((A16/1000)^2)*Q16)</f>
        <v>2.9897720423750424E-7</v>
      </c>
      <c r="U16" s="20">
        <f xml:space="preserve"> 1/(Constants!$B$2*Constants!$B$4*((A16/1000)^2)*S16)</f>
        <v>2.0165423044234244E-7</v>
      </c>
      <c r="V16" s="20">
        <f xml:space="preserve"> 1/(Constants!$B$2*Constants!$B$4*((A16/1000)^2)*R16)</f>
        <v>3.8923193672152996E-7</v>
      </c>
    </row>
    <row r="17" spans="1:22" s="2" customFormat="1" x14ac:dyDescent="0.35">
      <c r="A17" s="2">
        <v>80</v>
      </c>
      <c r="B17" s="4">
        <v>44236</v>
      </c>
      <c r="C17" s="2">
        <v>4</v>
      </c>
      <c r="D17" s="2">
        <v>300</v>
      </c>
      <c r="E17" s="2" t="s">
        <v>6</v>
      </c>
      <c r="F17" s="2">
        <v>1</v>
      </c>
      <c r="G17" s="2" t="s">
        <v>7</v>
      </c>
      <c r="H17" s="11">
        <v>0.50519999999999998</v>
      </c>
      <c r="I17" s="11">
        <v>0.503</v>
      </c>
      <c r="J17" s="11">
        <v>0.50749999999999995</v>
      </c>
      <c r="K17" s="11">
        <v>3.8899999999999997E-2</v>
      </c>
      <c r="L17" s="11">
        <v>3.6600000000000001E-2</v>
      </c>
      <c r="M17" s="11">
        <v>4.1300000000000003E-2</v>
      </c>
      <c r="N17" s="11">
        <v>7.7000000000000002E-3</v>
      </c>
      <c r="O17" s="11">
        <v>5.5999999999999999E-3</v>
      </c>
      <c r="P17" s="11">
        <v>9.7999999999999997E-3</v>
      </c>
      <c r="Q17" s="11">
        <v>5.0488</v>
      </c>
      <c r="R17" s="11">
        <v>3.7385000000000002</v>
      </c>
      <c r="S17" s="11">
        <v>7.32</v>
      </c>
      <c r="T17" s="16">
        <f xml:space="preserve"> 1/(Constants!$B$2*Constants!$B$4*((A17/1000)^2)*Q17)</f>
        <v>1.9588262798861311E-7</v>
      </c>
      <c r="U17" s="16">
        <f xml:space="preserve"> 1/(Constants!$B$2*Constants!$B$4*((A17/1000)^2)*S17)</f>
        <v>1.351054934684303E-7</v>
      </c>
      <c r="V17" s="16">
        <f xml:space="preserve"> 1/(Constants!$B$2*Constants!$B$4*((A17/1000)^2)*R17)</f>
        <v>2.6453717057346795E-7</v>
      </c>
    </row>
    <row r="18" spans="1:22" s="17" customFormat="1" x14ac:dyDescent="0.35">
      <c r="A18" s="17">
        <v>85</v>
      </c>
      <c r="B18" s="18">
        <v>44237</v>
      </c>
      <c r="C18" s="17">
        <v>2</v>
      </c>
      <c r="D18" s="17">
        <v>300</v>
      </c>
      <c r="E18" s="17" t="s">
        <v>6</v>
      </c>
      <c r="F18" s="17">
        <v>1</v>
      </c>
      <c r="G18" s="17" t="s">
        <v>7</v>
      </c>
      <c r="H18" s="19">
        <v>0.51139999999999997</v>
      </c>
      <c r="I18" s="19">
        <v>0.50960000000000005</v>
      </c>
      <c r="J18" s="19">
        <v>0.51319999999999999</v>
      </c>
      <c r="K18" s="19">
        <v>6.9900000000000004E-2</v>
      </c>
      <c r="L18" s="19">
        <v>6.7400000000000002E-2</v>
      </c>
      <c r="M18" s="19">
        <v>7.2400000000000006E-2</v>
      </c>
      <c r="N18" s="19">
        <v>6.3E-3</v>
      </c>
      <c r="O18" s="19">
        <v>3.8999999999999998E-3</v>
      </c>
      <c r="P18" s="19">
        <v>8.8000000000000005E-3</v>
      </c>
      <c r="Q18" s="19">
        <v>11.034800000000001</v>
      </c>
      <c r="R18" s="19">
        <v>7.65</v>
      </c>
      <c r="S18" s="19">
        <v>18.7714</v>
      </c>
      <c r="T18" s="20">
        <f xml:space="preserve"> 1/(Constants!$B$2*Constants!$B$4*((A18/1000)^2)*Q18)</f>
        <v>7.9389258468101767E-8</v>
      </c>
      <c r="U18" s="20">
        <f xml:space="preserve"> 1/(Constants!$B$2*Constants!$B$4*((A18/1000)^2)*S18)</f>
        <v>4.6669113083936702E-8</v>
      </c>
      <c r="V18" s="20">
        <f xml:space="preserve"> 1/(Constants!$B$2*Constants!$B$4*((A18/1000)^2)*R18)</f>
        <v>1.1451563259396199E-7</v>
      </c>
    </row>
    <row r="19" spans="1:22" s="2" customFormat="1" x14ac:dyDescent="0.35">
      <c r="A19" s="2">
        <v>90</v>
      </c>
      <c r="B19" s="4">
        <v>44237</v>
      </c>
      <c r="C19" s="2">
        <v>3</v>
      </c>
      <c r="D19" s="2">
        <v>300</v>
      </c>
      <c r="E19" s="2" t="s">
        <v>6</v>
      </c>
      <c r="F19" s="2">
        <v>1</v>
      </c>
      <c r="G19" s="2" t="s">
        <v>7</v>
      </c>
      <c r="H19" s="11">
        <v>0.52329999999999999</v>
      </c>
      <c r="I19" s="11">
        <v>0.52129999999999999</v>
      </c>
      <c r="J19" s="11">
        <v>0.52539999999999998</v>
      </c>
      <c r="K19" s="11">
        <v>4.6600000000000003E-2</v>
      </c>
      <c r="L19" s="11">
        <v>4.3799999999999999E-2</v>
      </c>
      <c r="M19" s="11">
        <v>4.9399999999999999E-2</v>
      </c>
      <c r="N19" s="11">
        <v>8.6E-3</v>
      </c>
      <c r="O19" s="11">
        <v>5.7999999999999996E-3</v>
      </c>
      <c r="P19" s="11">
        <v>1.06E-2</v>
      </c>
      <c r="Q19" s="11">
        <v>5.4</v>
      </c>
      <c r="R19" s="11">
        <v>4.125</v>
      </c>
      <c r="S19" s="11">
        <v>8.5846</v>
      </c>
      <c r="T19" s="16">
        <f xml:space="preserve"> 1/(Constants!$B$2*Constants!$B$4*((A19/1000)^2)*Q19)</f>
        <v>1.4470558203038465E-7</v>
      </c>
      <c r="U19" s="16">
        <f xml:space="preserve"> 1/(Constants!$B$2*Constants!$B$4*((A19/1000)^2)*S19)</f>
        <v>9.1024642145711751E-8</v>
      </c>
      <c r="V19" s="16">
        <f xml:space="preserve"> 1/(Constants!$B$2*Constants!$B$4*((A19/1000)^2)*R19)</f>
        <v>1.8943276193068534E-7</v>
      </c>
    </row>
    <row r="20" spans="1:22" s="17" customFormat="1" x14ac:dyDescent="0.35">
      <c r="A20" s="17">
        <v>95</v>
      </c>
      <c r="B20" s="18">
        <v>44237</v>
      </c>
      <c r="C20" s="17">
        <v>4</v>
      </c>
      <c r="D20" s="17">
        <v>300</v>
      </c>
      <c r="E20" s="17" t="s">
        <v>6</v>
      </c>
      <c r="F20" s="17">
        <v>1</v>
      </c>
      <c r="G20" s="17" t="s">
        <v>7</v>
      </c>
      <c r="H20" s="19">
        <v>0.52990000000000004</v>
      </c>
      <c r="I20" s="19">
        <v>0.52780000000000005</v>
      </c>
      <c r="J20" s="19">
        <v>0.53190000000000004</v>
      </c>
      <c r="K20" s="19">
        <v>4.1000000000000002E-2</v>
      </c>
      <c r="L20" s="19">
        <v>3.8300000000000001E-2</v>
      </c>
      <c r="M20" s="19">
        <v>4.3799999999999999E-2</v>
      </c>
      <c r="N20" s="19">
        <v>8.8999999999999999E-3</v>
      </c>
      <c r="O20" s="19">
        <v>6.4999999999999997E-3</v>
      </c>
      <c r="P20" s="19">
        <v>1.1299999999999999E-2</v>
      </c>
      <c r="Q20" s="19">
        <v>4.6097999999999999</v>
      </c>
      <c r="R20" s="19">
        <v>3.3923000000000001</v>
      </c>
      <c r="S20" s="19">
        <v>6.72</v>
      </c>
      <c r="T20" s="20">
        <f xml:space="preserve"> 1/(Constants!$B$2*Constants!$B$4*((A20/1000)^2)*Q20)</f>
        <v>1.5213697226297063E-7</v>
      </c>
      <c r="U20" s="20">
        <f xml:space="preserve"> 1/(Constants!$B$2*Constants!$B$4*((A20/1000)^2)*S20)</f>
        <v>1.0436324624075029E-7</v>
      </c>
      <c r="V20" s="20">
        <f xml:space="preserve"> 1/(Constants!$B$2*Constants!$B$4*((A20/1000)^2)*R20)</f>
        <v>2.0673908992065617E-7</v>
      </c>
    </row>
    <row r="21" spans="1:22" s="2" customFormat="1" x14ac:dyDescent="0.35">
      <c r="A21" s="2">
        <v>100</v>
      </c>
      <c r="B21" s="4">
        <v>44237</v>
      </c>
      <c r="C21" s="2">
        <v>5</v>
      </c>
      <c r="D21" s="2">
        <v>300</v>
      </c>
      <c r="E21" s="2" t="s">
        <v>6</v>
      </c>
      <c r="F21" s="2">
        <v>1</v>
      </c>
      <c r="G21" s="2" t="s">
        <v>7</v>
      </c>
      <c r="H21" s="11">
        <v>0.53580000000000005</v>
      </c>
      <c r="I21" s="11">
        <v>0.53320000000000001</v>
      </c>
      <c r="J21" s="11">
        <v>0.5383</v>
      </c>
      <c r="K21" s="11">
        <v>6.6299999999999998E-2</v>
      </c>
      <c r="L21" s="11">
        <v>6.2799999999999995E-2</v>
      </c>
      <c r="M21" s="11">
        <v>6.9699999999999998E-2</v>
      </c>
      <c r="N21" s="11">
        <v>8.5000000000000006E-3</v>
      </c>
      <c r="O21" s="11">
        <v>5.4999999999999997E-3</v>
      </c>
      <c r="P21" s="11">
        <v>1.04E-2</v>
      </c>
      <c r="Q21" s="11">
        <v>7.8387000000000002</v>
      </c>
      <c r="R21" s="11">
        <v>6.0632000000000001</v>
      </c>
      <c r="S21" s="11">
        <v>12.78</v>
      </c>
      <c r="T21" s="16">
        <f xml:space="preserve"> 1/(Constants!$B$2*Constants!$B$4*((A21/1000)^2)*Q21)</f>
        <v>8.0745814459145287E-8</v>
      </c>
      <c r="U21" s="16">
        <f xml:space="preserve"> 1/(Constants!$B$2*Constants!$B$4*((A21/1000)^2)*S21)</f>
        <v>4.9525994976596425E-8</v>
      </c>
      <c r="V21" s="16">
        <f xml:space="preserve"> 1/(Constants!$B$2*Constants!$B$4*((A21/1000)^2)*R21)</f>
        <v>1.043907863505908E-7</v>
      </c>
    </row>
    <row r="22" spans="1:22" x14ac:dyDescent="0.35">
      <c r="E22" s="5"/>
      <c r="F22" s="2"/>
      <c r="G22" s="5"/>
      <c r="P22" s="2"/>
      <c r="Q22" s="2"/>
    </row>
    <row r="23" spans="1:22" x14ac:dyDescent="0.35">
      <c r="F23" s="2"/>
    </row>
    <row r="24" spans="1:22" x14ac:dyDescent="0.35">
      <c r="F24" s="2"/>
    </row>
    <row r="25" spans="1:22" x14ac:dyDescent="0.35">
      <c r="F25" s="2"/>
    </row>
    <row r="26" spans="1:22" x14ac:dyDescent="0.35">
      <c r="F26" s="2"/>
    </row>
    <row r="27" spans="1:22" x14ac:dyDescent="0.35">
      <c r="F27" s="2"/>
    </row>
    <row r="28" spans="1:22" x14ac:dyDescent="0.35">
      <c r="F28" s="12"/>
    </row>
    <row r="29" spans="1:22" x14ac:dyDescent="0.35">
      <c r="F29" s="2"/>
    </row>
    <row r="30" spans="1:22" x14ac:dyDescent="0.35">
      <c r="F30" s="2"/>
    </row>
    <row r="31" spans="1:22" x14ac:dyDescent="0.35">
      <c r="F31" s="2"/>
    </row>
    <row r="32" spans="1:22" x14ac:dyDescent="0.35">
      <c r="F32" s="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topLeftCell="B1" zoomScale="55" zoomScaleNormal="55" workbookViewId="0">
      <selection activeCell="I39" sqref="I39"/>
    </sheetView>
  </sheetViews>
  <sheetFormatPr baseColWidth="10" defaultRowHeight="14.5" x14ac:dyDescent="0.35"/>
  <cols>
    <col min="4" max="4" width="26.1796875" customWidth="1"/>
    <col min="5" max="5" width="12.26953125" customWidth="1"/>
    <col min="6" max="6" width="44.36328125" customWidth="1"/>
    <col min="7" max="7" width="15.36328125" customWidth="1"/>
    <col min="11" max="11" width="11.7265625" customWidth="1"/>
    <col min="14" max="14" width="13.7265625" customWidth="1"/>
    <col min="15" max="16" width="14.54296875" customWidth="1"/>
    <col min="20" max="20" width="15.7265625" customWidth="1"/>
    <col min="21" max="22" width="12" bestFit="1" customWidth="1"/>
  </cols>
  <sheetData>
    <row r="1" spans="1:22" s="1" customFormat="1" x14ac:dyDescent="0.35">
      <c r="A1" s="1" t="s">
        <v>15</v>
      </c>
      <c r="B1" s="1" t="s">
        <v>1</v>
      </c>
      <c r="C1" s="1" t="s">
        <v>0</v>
      </c>
      <c r="D1" s="1" t="s">
        <v>38</v>
      </c>
      <c r="E1" s="1" t="s">
        <v>8</v>
      </c>
      <c r="F1" s="1" t="s">
        <v>37</v>
      </c>
      <c r="G1" s="1" t="s">
        <v>54</v>
      </c>
      <c r="H1" s="3" t="s">
        <v>30</v>
      </c>
      <c r="I1" s="3" t="s">
        <v>34</v>
      </c>
      <c r="J1" s="3" t="s">
        <v>35</v>
      </c>
      <c r="K1" s="3" t="s">
        <v>31</v>
      </c>
      <c r="L1" s="3" t="s">
        <v>32</v>
      </c>
      <c r="M1" s="3" t="s">
        <v>33</v>
      </c>
      <c r="N1" s="3" t="s">
        <v>27</v>
      </c>
      <c r="O1" s="3" t="s">
        <v>28</v>
      </c>
      <c r="P1" s="3" t="s">
        <v>29</v>
      </c>
      <c r="Q1" s="3" t="s">
        <v>3</v>
      </c>
      <c r="R1" s="3" t="s">
        <v>4</v>
      </c>
      <c r="S1" s="3" t="s">
        <v>5</v>
      </c>
      <c r="T1" s="3" t="s">
        <v>9</v>
      </c>
      <c r="U1" s="3" t="s">
        <v>10</v>
      </c>
      <c r="V1" s="3" t="s">
        <v>11</v>
      </c>
    </row>
    <row r="2" spans="1:22" s="2" customFormat="1" x14ac:dyDescent="0.35">
      <c r="A2" s="2">
        <v>5</v>
      </c>
      <c r="B2" s="4"/>
    </row>
    <row r="3" spans="1:22" s="2" customFormat="1" x14ac:dyDescent="0.35">
      <c r="A3" s="2">
        <v>10</v>
      </c>
      <c r="B3" s="4">
        <v>44915</v>
      </c>
      <c r="C3" s="2">
        <v>4</v>
      </c>
      <c r="D3" s="2">
        <v>302</v>
      </c>
      <c r="E3" s="2" t="s">
        <v>13</v>
      </c>
      <c r="F3" s="2" t="s">
        <v>36</v>
      </c>
      <c r="G3" s="2" t="s">
        <v>7</v>
      </c>
      <c r="H3" s="9">
        <v>0.375</v>
      </c>
      <c r="I3" s="9">
        <v>0.37419999999999998</v>
      </c>
      <c r="J3" s="9">
        <v>0.37580000000000002</v>
      </c>
      <c r="K3" s="9">
        <v>5.6099999999999997E-2</v>
      </c>
      <c r="L3" s="9">
        <v>5.5100000000000003E-2</v>
      </c>
      <c r="M3" s="9">
        <v>5.7200000000000001E-2</v>
      </c>
      <c r="N3" s="9">
        <v>1.6999999999999999E-3</v>
      </c>
      <c r="O3" s="9">
        <v>7.6999999999999996E-4</v>
      </c>
      <c r="P3" s="9">
        <v>2.7000000000000001E-3</v>
      </c>
      <c r="Q3" s="9">
        <v>32.200000000000003</v>
      </c>
      <c r="R3" s="9">
        <v>20.314299999999999</v>
      </c>
      <c r="S3" s="9">
        <v>73.8</v>
      </c>
      <c r="T3" s="10">
        <f xml:space="preserve"> 1/(Constants!$B$2*Constants!$B$4*(('New Meas. without Drift Comp.'!A3/1000)^2)*'New Meas. without Drift Comp.'!Q3)</f>
        <v>1.965659055282305E-6</v>
      </c>
      <c r="U3" s="9">
        <f xml:space="preserve"> 1/(Constants!$B$2*Constants!$B$4*(('New Meas. without Drift Comp.'!A3/1000)^2)*'New Meas. without Drift Comp.'!S3)</f>
        <v>8.5764527886301135E-7</v>
      </c>
      <c r="V3" s="9">
        <f xml:space="preserve"> 1/(Constants!$B$2*Constants!$B$4*(('New Meas. without Drift Comp.'!A3/1000)^2)*'New Meas. without Drift Comp.'!R3)</f>
        <v>3.1157471131218027E-6</v>
      </c>
    </row>
    <row r="4" spans="1:22" s="2" customFormat="1" x14ac:dyDescent="0.35">
      <c r="A4" s="2">
        <v>15</v>
      </c>
      <c r="B4" s="4"/>
      <c r="H4" s="7"/>
      <c r="I4" s="7"/>
      <c r="J4" s="7"/>
      <c r="K4" s="7"/>
      <c r="L4" s="7"/>
      <c r="M4" s="7"/>
      <c r="N4" s="7"/>
      <c r="O4" s="9"/>
      <c r="P4" s="7"/>
      <c r="Q4" s="7"/>
      <c r="R4" s="7"/>
      <c r="S4" s="7"/>
      <c r="T4" s="8" t="e">
        <f xml:space="preserve"> 1/(Constants!$B$2*Constants!$B$4*(('New Meas. without Drift Comp.'!A4/1000)^2)*'New Meas. without Drift Comp.'!Q4)</f>
        <v>#DIV/0!</v>
      </c>
      <c r="U4" s="7" t="e">
        <f xml:space="preserve"> 1/(Constants!$B$2*Constants!$B$4*(('New Meas. without Drift Comp.'!A4/1000)^2)*'New Meas. without Drift Comp.'!S4)</f>
        <v>#DIV/0!</v>
      </c>
      <c r="V4" s="7" t="e">
        <f xml:space="preserve"> 1/(Constants!$B$2*Constants!$B$4*(('New Meas. without Drift Comp.'!A4/1000)^2)*'New Meas. without Drift Comp.'!R4)</f>
        <v>#DIV/0!</v>
      </c>
    </row>
    <row r="5" spans="1:22" s="2" customFormat="1" x14ac:dyDescent="0.35">
      <c r="A5" s="2">
        <v>20</v>
      </c>
      <c r="B5" s="4">
        <v>44907</v>
      </c>
      <c r="C5" s="2">
        <v>2</v>
      </c>
      <c r="D5" s="2">
        <v>308</v>
      </c>
      <c r="E5" s="2" t="s">
        <v>13</v>
      </c>
      <c r="F5" s="2" t="s">
        <v>39</v>
      </c>
      <c r="G5" s="2" t="s">
        <v>7</v>
      </c>
      <c r="H5" s="9">
        <v>0.38950000000000001</v>
      </c>
      <c r="I5" s="9">
        <v>0.3886</v>
      </c>
      <c r="J5" s="9">
        <v>0.39029999999999998</v>
      </c>
      <c r="K5" s="9">
        <v>5.8000000000000003E-2</v>
      </c>
      <c r="L5" s="9">
        <v>5.6800000000000003E-2</v>
      </c>
      <c r="M5" s="9">
        <v>5.91E-2</v>
      </c>
      <c r="N5" s="9">
        <v>1.8E-3</v>
      </c>
      <c r="O5" s="9">
        <v>1.1999999999999999E-3</v>
      </c>
      <c r="P5" s="9">
        <v>2.5000000000000001E-3</v>
      </c>
      <c r="Q5" s="9">
        <v>31.4</v>
      </c>
      <c r="R5" s="9">
        <v>23.1</v>
      </c>
      <c r="S5" s="9">
        <v>48</v>
      </c>
      <c r="T5" s="10">
        <f xml:space="preserve"> 1/(Constants!$B$2*Constants!$B$4*(('New Meas. without Drift Comp.'!A5/1000)^2)*'New Meas. without Drift Comp.'!Q5)</f>
        <v>5.0393488519180127E-7</v>
      </c>
      <c r="U5" s="9">
        <f xml:space="preserve"> 1/(Constants!$B$2*Constants!$B$4*(('New Meas. without Drift Comp.'!A5/1000)^2)*'New Meas. without Drift Comp.'!S5)</f>
        <v>3.2965740406296997E-7</v>
      </c>
      <c r="V5" s="9">
        <f xml:space="preserve"> 1/(Constants!$B$2*Constants!$B$4*(('New Meas. without Drift Comp.'!A5/1000)^2)*'New Meas. without Drift Comp.'!R5)</f>
        <v>6.8500239805292455E-7</v>
      </c>
    </row>
    <row r="6" spans="1:22" s="2" customFormat="1" x14ac:dyDescent="0.35">
      <c r="A6" s="2">
        <v>25</v>
      </c>
      <c r="B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 t="e">
        <f xml:space="preserve"> 1/(Constants!$B$2*Constants!$B$4*(('New Meas. without Drift Comp.'!A6/1000)^2)*'New Meas. without Drift Comp.'!Q6)</f>
        <v>#DIV/0!</v>
      </c>
      <c r="U6" s="7" t="e">
        <f xml:space="preserve"> 1/(Constants!$B$2*Constants!$B$4*(('New Meas. without Drift Comp.'!A6/1000)^2)*'New Meas. without Drift Comp.'!S6)</f>
        <v>#DIV/0!</v>
      </c>
      <c r="V6" s="7" t="e">
        <f xml:space="preserve"> 1/(Constants!$B$2*Constants!$B$4*(('New Meas. without Drift Comp.'!A6/1000)^2)*'New Meas. without Drift Comp.'!R6)</f>
        <v>#DIV/0!</v>
      </c>
    </row>
    <row r="7" spans="1:22" s="2" customFormat="1" x14ac:dyDescent="0.35">
      <c r="A7" s="2">
        <v>30</v>
      </c>
      <c r="B7" s="4">
        <v>44908</v>
      </c>
      <c r="C7" s="2">
        <v>1</v>
      </c>
      <c r="D7" s="2">
        <v>299</v>
      </c>
      <c r="E7" s="2" t="s">
        <v>13</v>
      </c>
      <c r="F7" s="2" t="s">
        <v>41</v>
      </c>
      <c r="G7" s="2" t="s">
        <v>7</v>
      </c>
      <c r="H7" s="9">
        <v>0.41660000000000003</v>
      </c>
      <c r="I7" s="9">
        <v>0.41539999999999999</v>
      </c>
      <c r="J7" s="9">
        <v>0.4178</v>
      </c>
      <c r="K7" s="9">
        <v>5.0500000000000003E-2</v>
      </c>
      <c r="L7" s="9">
        <v>4.9500000000000002E-2</v>
      </c>
      <c r="M7" s="9">
        <v>5.1400000000000001E-2</v>
      </c>
      <c r="N7" s="9">
        <v>2E-3</v>
      </c>
      <c r="O7" s="9">
        <v>1.1000000000000001E-3</v>
      </c>
      <c r="P7" s="9">
        <v>2.8999999999999998E-3</v>
      </c>
      <c r="Q7" s="9">
        <v>25.363600000000002</v>
      </c>
      <c r="R7" s="9">
        <v>17.100000000000001</v>
      </c>
      <c r="S7" s="9">
        <v>47.4</v>
      </c>
      <c r="T7" s="10">
        <f xml:space="preserve"> 1/(Constants!$B$2*Constants!$B$4*(('New Meas. without Drift Comp.'!A7/1000)^2)*'New Meas. without Drift Comp.'!Q7)</f>
        <v>2.7727496438505149E-7</v>
      </c>
      <c r="U7" s="9">
        <f xml:space="preserve"> 1/(Constants!$B$2*Constants!$B$4*(('New Meas. without Drift Comp.'!A7/1000)^2)*'New Meas. without Drift Comp.'!S7)</f>
        <v>1.4836901448685007E-7</v>
      </c>
      <c r="V7" s="9">
        <f xml:space="preserve"> 1/(Constants!$B$2*Constants!$B$4*(('New Meas. without Drift Comp.'!A7/1000)^2)*'New Meas. without Drift Comp.'!R7)</f>
        <v>4.1126849629688261E-7</v>
      </c>
    </row>
    <row r="8" spans="1:22" s="2" customFormat="1" x14ac:dyDescent="0.35">
      <c r="A8" s="2">
        <v>35</v>
      </c>
      <c r="B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 t="e">
        <f xml:space="preserve"> 1/(Constants!$B$2*Constants!$B$4*(('New Meas. without Drift Comp.'!A8/1000)^2)*'New Meas. without Drift Comp.'!Q8)</f>
        <v>#DIV/0!</v>
      </c>
      <c r="U8" s="7" t="e">
        <f xml:space="preserve"> 1/(Constants!$B$2*Constants!$B$4*(('New Meas. without Drift Comp.'!A8/1000)^2)*'New Meas. without Drift Comp.'!S8)</f>
        <v>#DIV/0!</v>
      </c>
      <c r="V8" s="7" t="e">
        <f xml:space="preserve"> 1/(Constants!$B$2*Constants!$B$4*(('New Meas. without Drift Comp.'!A8/1000)^2)*'New Meas. without Drift Comp.'!R8)</f>
        <v>#DIV/0!</v>
      </c>
    </row>
    <row r="9" spans="1:22" s="2" customFormat="1" x14ac:dyDescent="0.35">
      <c r="A9" s="2">
        <v>40</v>
      </c>
      <c r="B9" s="4">
        <v>44908</v>
      </c>
      <c r="C9" s="2">
        <v>2</v>
      </c>
      <c r="D9" s="2">
        <v>300</v>
      </c>
      <c r="E9" s="2" t="s">
        <v>13</v>
      </c>
      <c r="F9" s="2" t="s">
        <v>40</v>
      </c>
      <c r="G9" s="2" t="s">
        <v>7</v>
      </c>
      <c r="H9" s="9">
        <v>0.41839999999999999</v>
      </c>
      <c r="I9" s="9">
        <v>0.41699999999999998</v>
      </c>
      <c r="J9" s="9">
        <v>0.41980000000000001</v>
      </c>
      <c r="K9" s="9">
        <v>3.8699999999999998E-2</v>
      </c>
      <c r="L9" s="9">
        <v>3.73E-2</v>
      </c>
      <c r="M9" s="9">
        <v>4.0099999999999997E-2</v>
      </c>
      <c r="N9" s="9">
        <v>4.1000000000000003E-3</v>
      </c>
      <c r="O9" s="9">
        <v>2.7000000000000001E-3</v>
      </c>
      <c r="P9" s="9">
        <v>5.4000000000000003E-3</v>
      </c>
      <c r="Q9" s="9">
        <v>9.5333000000000006</v>
      </c>
      <c r="R9" s="9">
        <v>6.9</v>
      </c>
      <c r="S9" s="9">
        <v>14.8</v>
      </c>
      <c r="T9" s="10">
        <f xml:space="preserve"> 1/(Constants!$B$2*Constants!$B$4*(('New Meas. without Drift Comp.'!A9/1000)^2)*'New Meas. without Drift Comp.'!Q9)</f>
        <v>4.1495482663460071E-7</v>
      </c>
      <c r="U9" s="9">
        <f xml:space="preserve"> 1/(Constants!$B$2*Constants!$B$4*(('New Meas. without Drift Comp.'!A9/1000)^2)*'New Meas. without Drift Comp.'!S9)</f>
        <v>2.6728978707808371E-7</v>
      </c>
      <c r="V9" s="9">
        <f xml:space="preserve"> 1/(Constants!$B$2*Constants!$B$4*(('New Meas. without Drift Comp.'!A9/1000)^2)*'New Meas. without Drift Comp.'!R9)</f>
        <v>5.7331722445733902E-7</v>
      </c>
    </row>
    <row r="10" spans="1:22" s="2" customFormat="1" x14ac:dyDescent="0.35">
      <c r="A10" s="2">
        <v>45</v>
      </c>
      <c r="B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e">
        <f xml:space="preserve"> 1/(Constants!$B$2*Constants!$B$4*(('New Meas. without Drift Comp.'!A10/1000)^2)*'New Meas. without Drift Comp.'!Q10)</f>
        <v>#DIV/0!</v>
      </c>
      <c r="U10" s="7" t="e">
        <f xml:space="preserve"> 1/(Constants!$B$2*Constants!$B$4*(('New Meas. without Drift Comp.'!A10/1000)^2)*'New Meas. without Drift Comp.'!S10)</f>
        <v>#DIV/0!</v>
      </c>
      <c r="V10" s="7" t="e">
        <f xml:space="preserve"> 1/(Constants!$B$2*Constants!$B$4*(('New Meas. without Drift Comp.'!A10/1000)^2)*'New Meas. without Drift Comp.'!R10)</f>
        <v>#DIV/0!</v>
      </c>
    </row>
    <row r="11" spans="1:22" s="2" customFormat="1" x14ac:dyDescent="0.35">
      <c r="A11" s="2">
        <v>50</v>
      </c>
      <c r="B11" s="4">
        <v>44909</v>
      </c>
      <c r="C11" s="2">
        <v>1</v>
      </c>
      <c r="D11" s="2">
        <v>319</v>
      </c>
      <c r="E11" s="2" t="s">
        <v>13</v>
      </c>
      <c r="F11" s="2">
        <v>1</v>
      </c>
      <c r="G11" s="2" t="s">
        <v>7</v>
      </c>
      <c r="H11" s="9">
        <v>0.41909999999999997</v>
      </c>
      <c r="I11" s="9">
        <v>0.41799999999999998</v>
      </c>
      <c r="J11" s="9">
        <v>0.42009999999999997</v>
      </c>
      <c r="K11" s="9">
        <v>4.1300000000000003E-2</v>
      </c>
      <c r="L11" s="9">
        <v>3.9399999999999998E-2</v>
      </c>
      <c r="M11" s="9">
        <v>4.2200000000000001E-2</v>
      </c>
      <c r="N11" s="9">
        <v>3.0000000000000001E-3</v>
      </c>
      <c r="O11" s="9">
        <v>2.2000000000000001E-3</v>
      </c>
      <c r="P11" s="9">
        <v>3.7000000000000002E-3</v>
      </c>
      <c r="Q11" s="9">
        <v>13.926299999999999</v>
      </c>
      <c r="R11" s="9">
        <v>10.5</v>
      </c>
      <c r="S11" s="9">
        <v>19.285699999999999</v>
      </c>
      <c r="T11" s="10">
        <f xml:space="preserve"> 1/(Constants!$B$2*Constants!$B$4*(('New Meas. without Drift Comp.'!A11/1000)^2)*'New Meas. without Drift Comp.'!Q11)</f>
        <v>1.8179766795226362E-7</v>
      </c>
      <c r="U11" s="9">
        <f xml:space="preserve"> 1/(Constants!$B$2*Constants!$B$4*(('New Meas. without Drift Comp.'!A11/1000)^2)*'New Meas. without Drift Comp.'!S11)</f>
        <v>1.3127700126018808E-7</v>
      </c>
      <c r="V11" s="9">
        <f xml:space="preserve"> 1/(Constants!$B$2*Constants!$B$4*(('New Meas. without Drift Comp.'!A11/1000)^2)*'New Meas. without Drift Comp.'!R11)</f>
        <v>2.4112084411462941E-7</v>
      </c>
    </row>
    <row r="12" spans="1:22" s="2" customFormat="1" x14ac:dyDescent="0.35">
      <c r="A12" s="2">
        <v>55</v>
      </c>
      <c r="B12" s="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e">
        <f xml:space="preserve"> 1/(Constants!$B$2*Constants!$B$4*(('New Meas. without Drift Comp.'!A12/1000)^2)*'New Meas. without Drift Comp.'!Q12)</f>
        <v>#DIV/0!</v>
      </c>
      <c r="U12" s="7" t="e">
        <f xml:space="preserve"> 1/(Constants!$B$2*Constants!$B$4*(('New Meas. without Drift Comp.'!A12/1000)^2)*'New Meas. without Drift Comp.'!S12)</f>
        <v>#DIV/0!</v>
      </c>
      <c r="V12" s="7" t="e">
        <f xml:space="preserve"> 1/(Constants!$B$2*Constants!$B$4*(('New Meas. without Drift Comp.'!A12/1000)^2)*'New Meas. without Drift Comp.'!R12)</f>
        <v>#DIV/0!</v>
      </c>
    </row>
    <row r="13" spans="1:22" s="2" customFormat="1" x14ac:dyDescent="0.35">
      <c r="A13" s="2">
        <v>60</v>
      </c>
      <c r="B13" s="4">
        <v>44909</v>
      </c>
      <c r="C13" s="2">
        <v>2</v>
      </c>
      <c r="D13" s="2">
        <v>379</v>
      </c>
      <c r="E13" s="2" t="s">
        <v>13</v>
      </c>
      <c r="F13" s="2" t="s">
        <v>42</v>
      </c>
      <c r="G13" s="2" t="s">
        <v>7</v>
      </c>
      <c r="H13" s="9">
        <v>0.43530000000000002</v>
      </c>
      <c r="I13" s="9">
        <v>0.43409999999999999</v>
      </c>
      <c r="J13" s="9">
        <v>0.4365</v>
      </c>
      <c r="K13" s="9">
        <v>0.02</v>
      </c>
      <c r="L13" s="9">
        <v>1.84E-2</v>
      </c>
      <c r="M13" s="9">
        <v>2.1700000000000001E-2</v>
      </c>
      <c r="N13" s="9">
        <v>5.7999999999999996E-3</v>
      </c>
      <c r="O13" s="9">
        <v>4.3E-3</v>
      </c>
      <c r="P13" s="9">
        <v>6.8999999999999999E-3</v>
      </c>
      <c r="Q13" s="9">
        <v>3.4420999999999999</v>
      </c>
      <c r="R13" s="9">
        <v>2.6471</v>
      </c>
      <c r="S13" s="9">
        <v>5.0571000000000002</v>
      </c>
      <c r="T13" s="10">
        <f xml:space="preserve"> 1/(Constants!$B$2*Constants!$B$4*(('New Meas. without Drift Comp.'!A13/1000)^2)*'New Meas. without Drift Comp.'!Q13)</f>
        <v>5.1078493410103518E-7</v>
      </c>
      <c r="U13" s="9">
        <f xml:space="preserve"> 1/(Constants!$B$2*Constants!$B$4*(('New Meas. without Drift Comp.'!A13/1000)^2)*'New Meas. without Drift Comp.'!S13)</f>
        <v>3.4766423872756583E-7</v>
      </c>
      <c r="V13" s="9">
        <f xml:space="preserve"> 1/(Constants!$B$2*Constants!$B$4*(('New Meas. without Drift Comp.'!A13/1000)^2)*'New Meas. without Drift Comp.'!R13)</f>
        <v>6.6418828970162567E-7</v>
      </c>
    </row>
    <row r="14" spans="1:22" s="2" customFormat="1" x14ac:dyDescent="0.35">
      <c r="A14" s="2">
        <v>65</v>
      </c>
      <c r="B14" s="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 t="e">
        <f xml:space="preserve"> 1/(Constants!$B$2*Constants!$B$4*(('New Meas. without Drift Comp.'!A14/1000)^2)*'New Meas. without Drift Comp.'!Q14)</f>
        <v>#DIV/0!</v>
      </c>
      <c r="U14" s="7" t="e">
        <f xml:space="preserve"> 1/(Constants!$B$2*Constants!$B$4*(('New Meas. without Drift Comp.'!A14/1000)^2)*'New Meas. without Drift Comp.'!S14)</f>
        <v>#DIV/0!</v>
      </c>
      <c r="V14" s="7" t="e">
        <f xml:space="preserve"> 1/(Constants!$B$2*Constants!$B$4*(('New Meas. without Drift Comp.'!A14/1000)^2)*'New Meas. without Drift Comp.'!R14)</f>
        <v>#DIV/0!</v>
      </c>
    </row>
    <row r="15" spans="1:22" s="2" customFormat="1" x14ac:dyDescent="0.35">
      <c r="A15" s="2">
        <v>70</v>
      </c>
      <c r="B15" s="4">
        <v>44910</v>
      </c>
      <c r="C15" s="2">
        <v>1</v>
      </c>
      <c r="D15" s="2">
        <v>446</v>
      </c>
      <c r="E15" s="2" t="s">
        <v>13</v>
      </c>
      <c r="F15" s="2" t="s">
        <v>43</v>
      </c>
      <c r="G15" s="2" t="s">
        <v>7</v>
      </c>
      <c r="H15" s="9">
        <v>0.44309999999999999</v>
      </c>
      <c r="I15" s="9">
        <v>0.44190000000000002</v>
      </c>
      <c r="J15" s="9">
        <v>0.44440000000000002</v>
      </c>
      <c r="K15" s="9">
        <v>5.0799999999999998E-2</v>
      </c>
      <c r="L15" s="9">
        <v>4.9099999999999998E-2</v>
      </c>
      <c r="M15" s="9">
        <v>5.2499999999999998E-2</v>
      </c>
      <c r="N15" s="9">
        <v>3.2000000000000002E-3</v>
      </c>
      <c r="O15" s="9">
        <v>1.9E-3</v>
      </c>
      <c r="P15" s="9">
        <v>4.4999999999999997E-3</v>
      </c>
      <c r="Q15" s="9">
        <v>15.7765</v>
      </c>
      <c r="R15" s="9">
        <v>10.8</v>
      </c>
      <c r="S15" s="9">
        <v>27.72</v>
      </c>
      <c r="T15" s="10">
        <f xml:space="preserve"> 1/(Constants!$B$2*Constants!$B$4*(('New Meas. without Drift Comp.'!A15/1000)^2)*'New Meas. without Drift Comp.'!Q15)</f>
        <v>8.18761327136528E-8</v>
      </c>
      <c r="U15" s="9">
        <f xml:space="preserve"> 1/(Constants!$B$2*Constants!$B$4*(('New Meas. without Drift Comp.'!A15/1000)^2)*'New Meas. without Drift Comp.'!S15)</f>
        <v>4.6598802588634319E-8</v>
      </c>
      <c r="V15" s="9">
        <f xml:space="preserve"> 1/(Constants!$B$2*Constants!$B$4*(('New Meas. without Drift Comp.'!A15/1000)^2)*'New Meas. without Drift Comp.'!R15)</f>
        <v>1.1960359331082808E-7</v>
      </c>
    </row>
    <row r="16" spans="1:22" s="2" customFormat="1" x14ac:dyDescent="0.35">
      <c r="A16" s="2">
        <v>75</v>
      </c>
      <c r="B16" s="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 t="e">
        <f xml:space="preserve"> 1/(Constants!$B$2*Constants!$B$4*(('New Meas. without Drift Comp.'!A16/1000)^2)*'New Meas. without Drift Comp.'!Q16)</f>
        <v>#DIV/0!</v>
      </c>
      <c r="U16" s="7" t="e">
        <f xml:space="preserve"> 1/(Constants!$B$2*Constants!$B$4*(('New Meas. without Drift Comp.'!A16/1000)^2)*'New Meas. without Drift Comp.'!S16)</f>
        <v>#DIV/0!</v>
      </c>
      <c r="V16" s="7" t="e">
        <f xml:space="preserve"> 1/(Constants!$B$2*Constants!$B$4*(('New Meas. without Drift Comp.'!A16/1000)^2)*'New Meas. without Drift Comp.'!R16)</f>
        <v>#DIV/0!</v>
      </c>
    </row>
    <row r="17" spans="1:22" s="2" customFormat="1" x14ac:dyDescent="0.35">
      <c r="A17" s="2">
        <v>80</v>
      </c>
      <c r="B17" s="4">
        <v>44910</v>
      </c>
      <c r="C17" s="2">
        <v>2</v>
      </c>
      <c r="D17" s="2">
        <v>569</v>
      </c>
      <c r="E17" s="2" t="s">
        <v>13</v>
      </c>
      <c r="F17" s="2" t="s">
        <v>44</v>
      </c>
      <c r="G17" s="2" t="s">
        <v>7</v>
      </c>
      <c r="H17" s="9">
        <v>0.44269999999999998</v>
      </c>
      <c r="I17" s="9">
        <v>0.44180000000000003</v>
      </c>
      <c r="J17" s="9">
        <v>0.44359999999999999</v>
      </c>
      <c r="K17" s="9">
        <v>1.78E-2</v>
      </c>
      <c r="L17" s="9">
        <v>1.6799999999999999E-2</v>
      </c>
      <c r="M17" s="9">
        <v>1.8700000000000001E-2</v>
      </c>
      <c r="N17" s="9">
        <v>2.7000000000000001E-3</v>
      </c>
      <c r="O17" s="9">
        <v>1.6000000000000001E-3</v>
      </c>
      <c r="P17" s="9">
        <v>3.5999999999999999E-3</v>
      </c>
      <c r="Q17" s="9">
        <v>6.4702999999999999</v>
      </c>
      <c r="R17" s="9">
        <v>4.7249999999999996</v>
      </c>
      <c r="S17" s="9">
        <v>11.454499999999999</v>
      </c>
      <c r="T17" s="10">
        <f xml:space="preserve"> 1/(Constants!$B$2*Constants!$B$4*(('New Meas. without Drift Comp.'!A17/1000)^2)*'New Meas. without Drift Comp.'!Q17)</f>
        <v>1.5284796874780302E-7</v>
      </c>
      <c r="U17" s="9">
        <f xml:space="preserve"> 1/(Constants!$B$2*Constants!$B$4*(('New Meas. without Drift Comp.'!A17/1000)^2)*'New Meas. without Drift Comp.'!S17)</f>
        <v>8.6339186537073631E-8</v>
      </c>
      <c r="V17" s="9">
        <f xml:space="preserve"> 1/(Constants!$B$2*Constants!$B$4*(('New Meas. without Drift Comp.'!A17/1000)^2)*'New Meas. without Drift Comp.'!R17)</f>
        <v>2.093062882939492E-7</v>
      </c>
    </row>
    <row r="18" spans="1:22" s="2" customFormat="1" x14ac:dyDescent="0.35">
      <c r="A18" s="2">
        <v>85</v>
      </c>
      <c r="B18" s="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 t="e">
        <f xml:space="preserve"> 1/(Constants!$B$2*Constants!$B$4*(('New Meas. without Drift Comp.'!A18/1000)^2)*'New Meas. without Drift Comp.'!Q18)</f>
        <v>#DIV/0!</v>
      </c>
      <c r="U18" s="7" t="e">
        <f xml:space="preserve"> 1/(Constants!$B$2*Constants!$B$4*(('New Meas. without Drift Comp.'!A18/1000)^2)*'New Meas. without Drift Comp.'!S18)</f>
        <v>#DIV/0!</v>
      </c>
      <c r="V18" s="7" t="e">
        <f xml:space="preserve"> 1/(Constants!$B$2*Constants!$B$4*(('New Meas. without Drift Comp.'!A18/1000)^2)*'New Meas. without Drift Comp.'!R18)</f>
        <v>#DIV/0!</v>
      </c>
    </row>
    <row r="19" spans="1:22" s="2" customFormat="1" x14ac:dyDescent="0.35">
      <c r="A19" s="2">
        <v>90</v>
      </c>
      <c r="B19" s="4">
        <v>44910</v>
      </c>
      <c r="C19" s="2">
        <v>3</v>
      </c>
      <c r="D19" s="2">
        <v>563</v>
      </c>
      <c r="E19" s="2" t="s">
        <v>13</v>
      </c>
      <c r="F19" s="2" t="s">
        <v>45</v>
      </c>
      <c r="G19" s="2" t="s">
        <v>7</v>
      </c>
      <c r="H19" s="9">
        <v>0.4516</v>
      </c>
      <c r="I19" s="9">
        <v>0.45029999999999998</v>
      </c>
      <c r="J19" s="9">
        <v>0.45290000000000002</v>
      </c>
      <c r="K19" s="9">
        <v>3.3500000000000002E-2</v>
      </c>
      <c r="L19" s="9">
        <v>3.2300000000000002E-2</v>
      </c>
      <c r="M19" s="9">
        <v>3.5799999999999998E-2</v>
      </c>
      <c r="N19" s="9">
        <v>4.3E-3</v>
      </c>
      <c r="O19" s="9">
        <v>2.2000000000000001E-3</v>
      </c>
      <c r="P19" s="9">
        <v>5.7999999999999996E-3</v>
      </c>
      <c r="Q19" s="9">
        <v>7.8387000000000002</v>
      </c>
      <c r="R19" s="9">
        <v>5.5713999999999997</v>
      </c>
      <c r="S19" s="9">
        <v>16.2</v>
      </c>
      <c r="T19" s="10">
        <f xml:space="preserve"> 1/(Constants!$B$2*Constants!$B$4*(('New Meas. without Drift Comp.'!A19/1000)^2)*'New Meas. without Drift Comp.'!Q19)</f>
        <v>9.9686190690302865E-8</v>
      </c>
      <c r="U19" s="9">
        <f xml:space="preserve"> 1/(Constants!$B$2*Constants!$B$4*(('New Meas. without Drift Comp.'!A19/1000)^2)*'New Meas. without Drift Comp.'!S19)</f>
        <v>4.8235194010128215E-8</v>
      </c>
      <c r="V19" s="9">
        <f xml:space="preserve"> 1/(Constants!$B$2*Constants!$B$4*(('New Meas. without Drift Comp.'!A19/1000)^2)*'New Meas. without Drift Comp.'!R19)</f>
        <v>1.4025382183366427E-7</v>
      </c>
    </row>
    <row r="20" spans="1:22" s="2" customFormat="1" x14ac:dyDescent="0.35">
      <c r="A20" s="2">
        <v>95</v>
      </c>
      <c r="B20" s="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 t="e">
        <f xml:space="preserve"> 1/(Constants!$B$2*Constants!$B$4*(('New Meas. without Drift Comp.'!A20/1000)^2)*'New Meas. without Drift Comp.'!Q20)</f>
        <v>#DIV/0!</v>
      </c>
      <c r="U20" s="7" t="e">
        <f xml:space="preserve"> 1/(Constants!$B$2*Constants!$B$4*(('New Meas. without Drift Comp.'!A20/1000)^2)*'New Meas. without Drift Comp.'!S20)</f>
        <v>#DIV/0!</v>
      </c>
      <c r="V20" s="7" t="e">
        <f xml:space="preserve"> 1/(Constants!$B$2*Constants!$B$4*(('New Meas. without Drift Comp.'!A20/1000)^2)*'New Meas. without Drift Comp.'!R20)</f>
        <v>#DIV/0!</v>
      </c>
    </row>
    <row r="21" spans="1:22" s="2" customFormat="1" x14ac:dyDescent="0.35">
      <c r="A21" s="2">
        <v>100</v>
      </c>
      <c r="B21" s="4">
        <v>44910</v>
      </c>
      <c r="C21" s="2">
        <v>4</v>
      </c>
      <c r="D21" s="2">
        <v>444</v>
      </c>
      <c r="E21" s="2" t="s">
        <v>13</v>
      </c>
      <c r="F21" s="2" t="s">
        <v>46</v>
      </c>
      <c r="G21" s="2" t="s">
        <v>7</v>
      </c>
      <c r="H21" s="9">
        <v>0.4733</v>
      </c>
      <c r="I21" s="9">
        <v>0.4723</v>
      </c>
      <c r="J21" s="9">
        <v>0.47439999999999999</v>
      </c>
      <c r="K21" s="9">
        <v>2.6800000000000001E-2</v>
      </c>
      <c r="L21" s="9">
        <v>2.53E-2</v>
      </c>
      <c r="M21" s="9">
        <v>2.8199999999999999E-2</v>
      </c>
      <c r="N21" s="9">
        <v>3.7000000000000002E-3</v>
      </c>
      <c r="O21" s="9">
        <v>2.5000000000000001E-3</v>
      </c>
      <c r="P21" s="9">
        <v>5.0000000000000001E-3</v>
      </c>
      <c r="Q21" s="9">
        <v>7.1455000000000002</v>
      </c>
      <c r="R21" s="9">
        <v>5.0727000000000002</v>
      </c>
      <c r="S21" s="9">
        <v>11.290900000000001</v>
      </c>
      <c r="T21" s="10">
        <f xml:space="preserve"> 1/(Constants!$B$2*Constants!$B$4*(('New Meas. without Drift Comp.'!A21/1000)^2)*'New Meas. without Drift Comp.'!Q21)</f>
        <v>8.8579135931831535E-8</v>
      </c>
      <c r="U21" s="9">
        <f xml:space="preserve"> 1/(Constants!$B$2*Constants!$B$4*(('New Meas. without Drift Comp.'!A21/1000)^2)*'New Meas. without Drift Comp.'!S21)</f>
        <v>5.605772930420978E-8</v>
      </c>
      <c r="V21" s="9">
        <f xml:space="preserve"> 1/(Constants!$B$2*Constants!$B$4*(('New Meas. without Drift Comp.'!A21/1000)^2)*'New Meas. without Drift Comp.'!R21)</f>
        <v>1.2477422591537096E-7</v>
      </c>
    </row>
    <row r="22" spans="1:22" s="2" customFormat="1" x14ac:dyDescent="0.35">
      <c r="A22" s="2">
        <v>105</v>
      </c>
      <c r="B22" s="4">
        <v>44914</v>
      </c>
      <c r="C22" s="2">
        <v>1</v>
      </c>
      <c r="D22" s="2">
        <v>301</v>
      </c>
      <c r="E22" s="2" t="s">
        <v>13</v>
      </c>
      <c r="F22" s="2" t="s">
        <v>47</v>
      </c>
      <c r="G22" s="2" t="s">
        <v>7</v>
      </c>
      <c r="H22" s="9">
        <v>0.4521</v>
      </c>
      <c r="I22" s="9">
        <v>0.45050000000000001</v>
      </c>
      <c r="J22" s="9">
        <v>0.4536</v>
      </c>
      <c r="K22" s="9">
        <v>2.6100000000000002E-2</v>
      </c>
      <c r="L22" s="9">
        <v>2.4E-2</v>
      </c>
      <c r="M22" s="9">
        <v>2.8199999999999999E-2</v>
      </c>
      <c r="N22" s="9">
        <v>6.4000000000000003E-3</v>
      </c>
      <c r="O22" s="9">
        <v>5.0000000000000001E-3</v>
      </c>
      <c r="P22" s="9">
        <v>7.7999999999999996E-3</v>
      </c>
      <c r="Q22" s="9">
        <v>4.0776000000000003</v>
      </c>
      <c r="R22" s="9">
        <v>3.06</v>
      </c>
      <c r="S22" s="9">
        <v>5.6841999999999997</v>
      </c>
      <c r="T22" s="10">
        <f xml:space="preserve"> 1/(Constants!$B$2*Constants!$B$4*(('New Meas. without Drift Comp.'!A22/1000)^2)*'New Meas. without Drift Comp.'!Q22)</f>
        <v>1.4079292914753164E-7</v>
      </c>
      <c r="U22" s="9">
        <f xml:space="preserve"> 1/(Constants!$B$2*Constants!$B$4*(('New Meas. without Drift Comp.'!A22/1000)^2)*'New Meas. without Drift Comp.'!S22)</f>
        <v>1.0099877694169365E-7</v>
      </c>
      <c r="V22" s="9">
        <f xml:space="preserve"> 1/(Constants!$B$2*Constants!$B$4*(('New Meas. without Drift Comp.'!A22/1000)^2)*'New Meas. without Drift Comp.'!R22)</f>
        <v>1.8761347970325982E-7</v>
      </c>
    </row>
    <row r="23" spans="1:22" s="2" customFormat="1" x14ac:dyDescent="0.35">
      <c r="A23" s="2">
        <v>110</v>
      </c>
      <c r="B23" s="4">
        <v>44911</v>
      </c>
      <c r="C23" s="2">
        <v>1</v>
      </c>
      <c r="D23" s="2">
        <v>302</v>
      </c>
      <c r="E23" s="2" t="s">
        <v>13</v>
      </c>
      <c r="F23" s="2" t="s">
        <v>48</v>
      </c>
      <c r="G23" s="2" t="s">
        <v>7</v>
      </c>
      <c r="H23" s="9">
        <v>0.47810000000000002</v>
      </c>
      <c r="I23" s="9">
        <v>0.47660000000000002</v>
      </c>
      <c r="J23" s="9">
        <v>0.47970000000000002</v>
      </c>
      <c r="K23" s="9">
        <v>1.83E-2</v>
      </c>
      <c r="L23" s="9">
        <v>1.5800000000000002E-2</v>
      </c>
      <c r="M23" s="9">
        <v>2.0799999999999999E-2</v>
      </c>
      <c r="N23" s="9">
        <v>7.6E-3</v>
      </c>
      <c r="O23" s="9">
        <v>5.7999999999999996E-3</v>
      </c>
      <c r="P23" s="9">
        <v>9.4000000000000004E-3</v>
      </c>
      <c r="Q23" s="9">
        <v>2.4085000000000001</v>
      </c>
      <c r="R23" s="9">
        <v>1.6773</v>
      </c>
      <c r="S23" s="9">
        <v>3.6</v>
      </c>
      <c r="T23" s="10">
        <f xml:space="preserve"> 1/(Constants!$B$2*Constants!$B$4*(('New Meas. without Drift Comp.'!A23/1000)^2)*'New Meas. without Drift Comp.'!Q23)</f>
        <v>2.1718610767337522E-7</v>
      </c>
      <c r="U23" s="9">
        <f xml:space="preserve"> 1/(Constants!$B$2*Constants!$B$4*(('New Meas. without Drift Comp.'!A23/1000)^2)*'New Meas. without Drift Comp.'!S23)</f>
        <v>1.453035389809234E-7</v>
      </c>
      <c r="V23" s="9">
        <f xml:space="preserve"> 1/(Constants!$B$2*Constants!$B$4*(('New Meas. without Drift Comp.'!A23/1000)^2)*'New Meas. without Drift Comp.'!R23)</f>
        <v>3.1186593950475422E-7</v>
      </c>
    </row>
    <row r="24" spans="1:22" s="2" customFormat="1" x14ac:dyDescent="0.35">
      <c r="A24" s="2">
        <v>115</v>
      </c>
      <c r="B24" s="4">
        <v>44915</v>
      </c>
      <c r="C24" s="2">
        <v>2</v>
      </c>
      <c r="D24" s="2">
        <v>352</v>
      </c>
      <c r="E24" s="2" t="s">
        <v>13</v>
      </c>
      <c r="F24" s="2" t="s">
        <v>49</v>
      </c>
      <c r="G24" s="2" t="s">
        <v>7</v>
      </c>
      <c r="H24" s="9">
        <v>0.45800000000000002</v>
      </c>
      <c r="I24" s="9">
        <v>0.45710000000000001</v>
      </c>
      <c r="J24" s="9">
        <v>0.45900000000000002</v>
      </c>
      <c r="K24" s="9">
        <v>8.8000000000000005E-3</v>
      </c>
      <c r="L24" s="9">
        <v>2.5999999999999999E-3</v>
      </c>
      <c r="M24" s="9">
        <v>1.5100000000000001E-2</v>
      </c>
      <c r="N24" s="9">
        <v>5.7000000000000002E-3</v>
      </c>
      <c r="O24" s="9">
        <v>3.0999999999999999E-3</v>
      </c>
      <c r="P24" s="9">
        <v>8.2000000000000007E-3</v>
      </c>
      <c r="Q24" s="9">
        <v>1.5517000000000001</v>
      </c>
      <c r="R24" s="9">
        <v>0.31430000000000002</v>
      </c>
      <c r="S24" s="9">
        <v>4.8</v>
      </c>
      <c r="T24" s="10">
        <f xml:space="preserve"> 1/(Constants!$B$2*Constants!$B$4*(('New Meas. without Drift Comp.'!A24/1000)^2)*'New Meas. without Drift Comp.'!Q24)</f>
        <v>3.0843284671176657E-7</v>
      </c>
      <c r="U24" s="9">
        <f xml:space="preserve"> 1/(Constants!$B$2*Constants!$B$4*(('New Meas. without Drift Comp.'!A24/1000)^2)*'New Meas. without Drift Comp.'!S24)</f>
        <v>9.9707343383885054E-8</v>
      </c>
      <c r="V24" s="9">
        <f xml:space="preserve"> 1/(Constants!$B$2*Constants!$B$4*(('New Meas. without Drift Comp.'!A24/1000)^2)*'New Meas. without Drift Comp.'!R24)</f>
        <v>1.5227338474153618E-6</v>
      </c>
    </row>
    <row r="25" spans="1:22" s="2" customFormat="1" x14ac:dyDescent="0.35">
      <c r="A25" s="2">
        <v>120</v>
      </c>
      <c r="B25" s="4">
        <v>44914</v>
      </c>
      <c r="C25" s="2">
        <v>3</v>
      </c>
      <c r="D25" s="2">
        <v>155</v>
      </c>
      <c r="E25" s="2" t="s">
        <v>13</v>
      </c>
      <c r="F25" s="2" t="s">
        <v>50</v>
      </c>
      <c r="G25" s="2" t="s">
        <v>7</v>
      </c>
      <c r="H25" s="9">
        <v>0.45100000000000001</v>
      </c>
      <c r="I25" s="9">
        <v>0.45029999999999998</v>
      </c>
      <c r="J25" s="9">
        <v>0.45179999999999998</v>
      </c>
      <c r="K25" s="9">
        <v>6.6E-3</v>
      </c>
      <c r="L25" s="9">
        <v>5.4999999999999997E-3</v>
      </c>
      <c r="M25" s="9">
        <v>7.6E-3</v>
      </c>
      <c r="N25" s="9">
        <v>2.3E-3</v>
      </c>
      <c r="O25" s="9">
        <v>1.5E-3</v>
      </c>
      <c r="P25" s="9">
        <v>3.2000000000000002E-3</v>
      </c>
      <c r="Q25" s="9">
        <v>2.8</v>
      </c>
      <c r="R25" s="9">
        <v>1.7561</v>
      </c>
      <c r="S25" s="9">
        <v>4.95</v>
      </c>
      <c r="T25" s="10">
        <f xml:space="preserve"> 1/(Constants!$B$2*Constants!$B$4*(('New Meas. without Drift Comp.'!A25/1000)^2)*'New Meas. without Drift Comp.'!Q25)</f>
        <v>1.5697971622046192E-7</v>
      </c>
      <c r="U25" s="9">
        <f xml:space="preserve"> 1/(Constants!$B$2*Constants!$B$4*(('New Meas. without Drift Comp.'!A25/1000)^2)*'New Meas. without Drift Comp.'!S25)</f>
        <v>8.8796607155008751E-8</v>
      </c>
      <c r="V25" s="9">
        <f xml:space="preserve"> 1/(Constants!$B$2*Constants!$B$4*(('New Meas. without Drift Comp.'!A25/1000)^2)*'New Meas. without Drift Comp.'!R25)</f>
        <v>2.5029508878611315E-7</v>
      </c>
    </row>
    <row r="26" spans="1:22" s="2" customFormat="1" x14ac:dyDescent="0.35">
      <c r="A26" s="2">
        <v>125</v>
      </c>
      <c r="B26" s="4">
        <v>44915</v>
      </c>
      <c r="C26" s="2">
        <v>1</v>
      </c>
      <c r="D26" s="2">
        <v>338</v>
      </c>
      <c r="E26" s="2" t="s">
        <v>13</v>
      </c>
      <c r="F26" s="2">
        <v>1</v>
      </c>
      <c r="G26" s="2" t="s">
        <v>7</v>
      </c>
      <c r="H26" s="9">
        <v>0.45739999999999997</v>
      </c>
      <c r="I26" s="9">
        <v>0.45629999999999998</v>
      </c>
      <c r="J26" s="9">
        <v>0.45850000000000002</v>
      </c>
      <c r="K26" s="9" t="s">
        <v>17</v>
      </c>
      <c r="L26" s="9">
        <v>1.2500000000000001E-2</v>
      </c>
      <c r="M26" s="9">
        <v>1.55E-2</v>
      </c>
      <c r="N26" s="9">
        <v>5.1999999999999998E-3</v>
      </c>
      <c r="O26" s="9">
        <v>3.8E-3</v>
      </c>
      <c r="P26" s="9">
        <v>6.4000000000000003E-3</v>
      </c>
      <c r="Q26" s="9">
        <v>2.6869999999999998</v>
      </c>
      <c r="R26" s="9">
        <v>1.9714</v>
      </c>
      <c r="S26" s="9">
        <v>4.1040000000000001</v>
      </c>
      <c r="T26" s="10">
        <f xml:space="preserve"> 1/(Constants!$B$2*Constants!$B$4*(('New Meas. without Drift Comp.'!A26/1000)^2)*'New Meas. without Drift Comp.'!Q26)</f>
        <v>1.5075661262098161E-7</v>
      </c>
      <c r="U26" s="9">
        <f xml:space="preserve"> 1/(Constants!$B$2*Constants!$B$4*(('New Meas. without Drift Comp.'!A26/1000)^2)*'New Meas. without Drift Comp.'!S26)</f>
        <v>9.8704439111251821E-8</v>
      </c>
      <c r="V26" s="9">
        <f xml:space="preserve"> 1/(Constants!$B$2*Constants!$B$4*(('New Meas. without Drift Comp.'!A26/1000)^2)*'New Meas. without Drift Comp.'!R26)</f>
        <v>2.0547987121465836E-7</v>
      </c>
    </row>
    <row r="27" spans="1:22" s="2" customFormat="1" x14ac:dyDescent="0.35">
      <c r="A27" s="2">
        <v>130</v>
      </c>
      <c r="B27" s="4">
        <v>44915</v>
      </c>
      <c r="C27" s="2">
        <v>3</v>
      </c>
      <c r="D27" s="2">
        <v>387</v>
      </c>
      <c r="E27" s="2" t="s">
        <v>13</v>
      </c>
      <c r="F27" s="2" t="s">
        <v>51</v>
      </c>
      <c r="G27" s="2" t="s">
        <v>7</v>
      </c>
      <c r="H27" s="9">
        <v>0.46329999999999999</v>
      </c>
      <c r="I27" s="9">
        <v>0.46229999999999999</v>
      </c>
      <c r="J27" s="9">
        <v>0.46429999999999999</v>
      </c>
      <c r="K27" s="9">
        <v>1.01E-2</v>
      </c>
      <c r="L27" s="9">
        <v>8.6E-3</v>
      </c>
      <c r="M27" s="9">
        <v>1.17E-2</v>
      </c>
      <c r="N27" s="9">
        <v>5.0000000000000001E-3</v>
      </c>
      <c r="O27" s="9">
        <v>3.5000000000000001E-3</v>
      </c>
      <c r="P27" s="9">
        <v>6.1000000000000004E-3</v>
      </c>
      <c r="Q27" s="9">
        <v>2.0466000000000002</v>
      </c>
      <c r="R27" s="9">
        <v>1.4</v>
      </c>
      <c r="S27" s="9">
        <v>3.3231000000000002</v>
      </c>
      <c r="T27" s="10">
        <f xml:space="preserve"> 1/(Constants!$B$2*Constants!$B$4*(('New Meas. without Drift Comp.'!A27/1000)^2)*'New Meas. without Drift Comp.'!Q27)</f>
        <v>1.8299717638227585E-7</v>
      </c>
      <c r="U27" s="9">
        <f xml:space="preserve"> 1/(Constants!$B$2*Constants!$B$4*(('New Meas. without Drift Comp.'!A27/1000)^2)*'New Meas. without Drift Comp.'!S27)</f>
        <v>1.1270260334746647E-7</v>
      </c>
      <c r="V27" s="9">
        <f xml:space="preserve"> 1/(Constants!$B$2*Constants!$B$4*(('New Meas. without Drift Comp.'!A27/1000)^2)*'New Meas. without Drift Comp.'!R27)</f>
        <v>2.6751572941711848E-7</v>
      </c>
    </row>
    <row r="28" spans="1:22" s="12" customFormat="1" x14ac:dyDescent="0.35">
      <c r="A28" s="12">
        <v>135</v>
      </c>
      <c r="B28" s="13">
        <v>44915</v>
      </c>
      <c r="C28" s="12">
        <v>5</v>
      </c>
      <c r="D28" s="12">
        <v>318</v>
      </c>
      <c r="E28" s="12" t="s">
        <v>13</v>
      </c>
      <c r="F28" s="12" t="s">
        <v>52</v>
      </c>
      <c r="G28" s="12" t="s">
        <v>7</v>
      </c>
      <c r="H28" s="14">
        <v>0.4783</v>
      </c>
      <c r="I28" s="14">
        <v>0.47760000000000002</v>
      </c>
      <c r="J28" s="14">
        <v>0.4788</v>
      </c>
      <c r="K28" s="14">
        <v>6.4000000000000003E-3</v>
      </c>
      <c r="L28" s="14">
        <v>5.3E-3</v>
      </c>
      <c r="M28" s="14">
        <v>7.4999999999999997E-3</v>
      </c>
      <c r="N28" s="14">
        <v>3.0000000000000001E-3</v>
      </c>
      <c r="O28" s="14">
        <v>2E-3</v>
      </c>
      <c r="P28" s="14">
        <v>3.8E-3</v>
      </c>
      <c r="Q28" s="14">
        <v>2.1452</v>
      </c>
      <c r="R28" s="14">
        <v>1.4087000000000001</v>
      </c>
      <c r="S28" s="14">
        <v>3.6720000000000002</v>
      </c>
      <c r="T28" s="15">
        <f xml:space="preserve"> 1/(Constants!$B$2*Constants!$B$4*(('New Meas. without Drift Comp.'!A28/1000)^2)*'New Meas. without Drift Comp.'!Q28)</f>
        <v>1.6189324858890689E-7</v>
      </c>
      <c r="U28" s="14">
        <f xml:space="preserve"> 1/(Constants!$B$2*Constants!$B$4*(('New Meas. without Drift Comp.'!A28/1000)^2)*'New Meas. without Drift Comp.'!S28)</f>
        <v>9.4578811784565107E-8</v>
      </c>
      <c r="V28" s="14">
        <f xml:space="preserve"> 1/(Constants!$B$2*Constants!$B$4*(('New Meas. without Drift Comp.'!A28/1000)^2)*'New Meas. without Drift Comp.'!R28)</f>
        <v>2.4653467514227516E-7</v>
      </c>
    </row>
    <row r="29" spans="1:22" s="2" customFormat="1" x14ac:dyDescent="0.35">
      <c r="A29" s="2">
        <v>140</v>
      </c>
      <c r="B29" s="4">
        <v>44915</v>
      </c>
      <c r="C29" s="2">
        <v>6</v>
      </c>
      <c r="D29" s="2">
        <v>347</v>
      </c>
      <c r="E29" s="2" t="s">
        <v>13</v>
      </c>
      <c r="F29" s="2">
        <v>1</v>
      </c>
      <c r="G29" s="2" t="s">
        <v>7</v>
      </c>
      <c r="H29" s="9">
        <v>0.44479999999999997</v>
      </c>
      <c r="I29" s="9">
        <v>0.44409999999999999</v>
      </c>
      <c r="J29" s="9">
        <v>0.44540000000000002</v>
      </c>
      <c r="K29" s="9">
        <v>7.1999999999999998E-3</v>
      </c>
      <c r="L29" s="9">
        <v>5.8999999999999999E-3</v>
      </c>
      <c r="M29" s="9">
        <v>8.3999999999999995E-3</v>
      </c>
      <c r="N29" s="9">
        <v>3.5999999999999999E-3</v>
      </c>
      <c r="O29" s="9">
        <v>2.7000000000000001E-3</v>
      </c>
      <c r="P29" s="9">
        <v>4.4999999999999997E-3</v>
      </c>
      <c r="Q29" s="9">
        <v>2.0148999999999999</v>
      </c>
      <c r="R29" s="9">
        <v>1.3286</v>
      </c>
      <c r="S29" s="9">
        <v>3.1680000000000001</v>
      </c>
      <c r="T29" s="10">
        <f xml:space="preserve"> 1/(Constants!$B$2*Constants!$B$4*(('New Meas. without Drift Comp.'!A29/1000)^2)*'New Meas. without Drift Comp.'!Q29)</f>
        <v>1.602708332618174E-7</v>
      </c>
      <c r="U29" s="9">
        <f xml:space="preserve"> 1/(Constants!$B$2*Constants!$B$4*(('New Meas. without Drift Comp.'!A29/1000)^2)*'New Meas. without Drift Comp.'!S29)</f>
        <v>1.0193488066263759E-7</v>
      </c>
      <c r="V29" s="9">
        <f xml:space="preserve"> 1/(Constants!$B$2*Constants!$B$4*(('New Meas. without Drift Comp.'!A29/1000)^2)*'New Meas. without Drift Comp.'!R29)</f>
        <v>2.4306013995125382E-7</v>
      </c>
    </row>
    <row r="30" spans="1:22" s="2" customFormat="1" x14ac:dyDescent="0.35">
      <c r="B30" s="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7"/>
      <c r="V30" s="7"/>
    </row>
    <row r="31" spans="1:22" s="2" customFormat="1" x14ac:dyDescent="0.35">
      <c r="A31" s="2">
        <v>150</v>
      </c>
      <c r="B31" s="4">
        <v>44916</v>
      </c>
      <c r="C31" s="2">
        <v>2</v>
      </c>
      <c r="D31" s="2">
        <v>302</v>
      </c>
      <c r="E31" s="2" t="s">
        <v>13</v>
      </c>
      <c r="F31" s="2" t="s">
        <v>53</v>
      </c>
      <c r="G31" s="2" t="s">
        <v>7</v>
      </c>
      <c r="H31" s="9">
        <v>0.47589999999999999</v>
      </c>
      <c r="I31" s="9">
        <v>0.47399999999999998</v>
      </c>
      <c r="J31" s="9">
        <v>0.4778</v>
      </c>
      <c r="K31" s="9">
        <v>0.02</v>
      </c>
      <c r="L31" s="9">
        <v>1.6500000000000001E-2</v>
      </c>
      <c r="M31" s="9">
        <v>2.3400000000000001E-2</v>
      </c>
      <c r="N31" s="9">
        <v>9.5999999999999992E-3</v>
      </c>
      <c r="O31" s="9">
        <v>6.8999999999999999E-3</v>
      </c>
      <c r="P31" s="9">
        <v>1.2200000000000001E-2</v>
      </c>
      <c r="Q31" s="9">
        <v>2.0880000000000001</v>
      </c>
      <c r="R31" s="9">
        <v>1.35</v>
      </c>
      <c r="S31" s="9">
        <v>3.4</v>
      </c>
      <c r="T31" s="10">
        <f xml:space="preserve"> 1/(Constants!$B$2*Constants!$B$4*(('New Meas. without Drift Comp.'!A31/1000)^2)*'New Meas. without Drift Comp.'!Q31)</f>
        <v>1.347258867179443E-7</v>
      </c>
      <c r="U31" s="9">
        <f xml:space="preserve"> 1/(Constants!$B$2*Constants!$B$4*(('New Meas. without Drift Comp.'!A31/1000)^2)*'New Meas. without Drift Comp.'!S31)</f>
        <v>8.2737544549137557E-8</v>
      </c>
      <c r="V31" s="9">
        <f xml:space="preserve"> 1/(Constants!$B$2*Constants!$B$4*(('New Meas. without Drift Comp.'!A31/1000)^2)*'New Meas. without Drift Comp.'!R31)</f>
        <v>2.0837603812375386E-7</v>
      </c>
    </row>
    <row r="32" spans="1:22" x14ac:dyDescent="0.35">
      <c r="E32" s="5"/>
      <c r="F32" s="5"/>
      <c r="G32" s="5"/>
    </row>
    <row r="39" spans="18:18" x14ac:dyDescent="0.35">
      <c r="R39" s="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9"/>
  <sheetViews>
    <sheetView tabSelected="1" zoomScale="70" zoomScaleNormal="70" workbookViewId="0">
      <selection activeCell="W19" sqref="W19"/>
    </sheetView>
  </sheetViews>
  <sheetFormatPr baseColWidth="10" defaultRowHeight="14.5" x14ac:dyDescent="0.35"/>
  <cols>
    <col min="2" max="2" width="10.90625" style="22"/>
    <col min="4" max="4" width="26.1796875" customWidth="1"/>
    <col min="6" max="6" width="44.36328125" customWidth="1"/>
    <col min="7" max="7" width="21.7265625" customWidth="1"/>
    <col min="11" max="11" width="11.7265625" customWidth="1"/>
    <col min="14" max="14" width="13.7265625" customWidth="1"/>
    <col min="15" max="16" width="14.54296875" customWidth="1"/>
    <col min="20" max="20" width="15.7265625" customWidth="1"/>
    <col min="21" max="22" width="12" bestFit="1" customWidth="1"/>
  </cols>
  <sheetData>
    <row r="1" spans="1:23" s="1" customFormat="1" x14ac:dyDescent="0.35">
      <c r="A1" s="1" t="s">
        <v>15</v>
      </c>
      <c r="B1" s="21" t="s">
        <v>1</v>
      </c>
      <c r="C1" s="1" t="s">
        <v>0</v>
      </c>
      <c r="D1" s="1" t="s">
        <v>38</v>
      </c>
      <c r="E1" s="1" t="s">
        <v>8</v>
      </c>
      <c r="F1" s="1" t="s">
        <v>37</v>
      </c>
      <c r="G1" s="1" t="s">
        <v>12</v>
      </c>
      <c r="H1" s="3" t="s">
        <v>30</v>
      </c>
      <c r="I1" s="3" t="s">
        <v>34</v>
      </c>
      <c r="J1" s="3" t="s">
        <v>35</v>
      </c>
      <c r="K1" s="3" t="s">
        <v>31</v>
      </c>
      <c r="L1" s="3" t="s">
        <v>32</v>
      </c>
      <c r="M1" s="3" t="s">
        <v>33</v>
      </c>
      <c r="N1" s="3" t="s">
        <v>27</v>
      </c>
      <c r="O1" s="3" t="s">
        <v>28</v>
      </c>
      <c r="P1" s="3" t="s">
        <v>29</v>
      </c>
      <c r="Q1" s="3" t="s">
        <v>3</v>
      </c>
      <c r="R1" s="3" t="s">
        <v>4</v>
      </c>
      <c r="S1" s="3" t="s">
        <v>5</v>
      </c>
      <c r="T1" s="3" t="s">
        <v>9</v>
      </c>
      <c r="U1" s="3" t="s">
        <v>10</v>
      </c>
      <c r="V1" s="3" t="s">
        <v>11</v>
      </c>
      <c r="W1" s="1" t="s">
        <v>57</v>
      </c>
    </row>
    <row r="2" spans="1:23" s="2" customFormat="1" x14ac:dyDescent="0.35">
      <c r="A2" s="2">
        <v>5</v>
      </c>
      <c r="B2" s="4"/>
    </row>
    <row r="3" spans="1:23" s="2" customFormat="1" x14ac:dyDescent="0.35">
      <c r="A3" s="2">
        <v>10</v>
      </c>
      <c r="B3" s="4">
        <v>44915</v>
      </c>
      <c r="C3" s="2">
        <v>4</v>
      </c>
      <c r="D3" s="2">
        <v>302</v>
      </c>
      <c r="E3" s="2" t="s">
        <v>13</v>
      </c>
      <c r="F3" s="2" t="s">
        <v>36</v>
      </c>
      <c r="G3" s="2" t="s">
        <v>6</v>
      </c>
      <c r="H3" s="9">
        <v>0.37509999999999999</v>
      </c>
      <c r="I3" s="9">
        <v>0.37430000000000002</v>
      </c>
      <c r="J3" s="9">
        <v>0.37590000000000001</v>
      </c>
      <c r="K3" s="9">
        <v>5.5599999999999997E-2</v>
      </c>
      <c r="L3" s="9">
        <v>5.4600000000000003E-2</v>
      </c>
      <c r="M3" s="9">
        <v>5.67E-2</v>
      </c>
      <c r="N3" s="9">
        <v>1.2999999999999999E-3</v>
      </c>
      <c r="O3" s="9">
        <v>3.8000000000000002E-4</v>
      </c>
      <c r="P3" s="9">
        <v>2.3E-3</v>
      </c>
      <c r="Q3" s="9">
        <v>41.4</v>
      </c>
      <c r="R3" s="9">
        <v>23.7</v>
      </c>
      <c r="S3" s="9">
        <v>147.6</v>
      </c>
      <c r="T3" s="10">
        <f xml:space="preserve"> 1/(Constants!$B$2*Constants!$B$4*(('New Meas. with Drift Comp.'!A3/1000)^2)*'New Meas. with Drift Comp.'!Q3)</f>
        <v>1.5288459318862374E-6</v>
      </c>
      <c r="U3" s="9">
        <f xml:space="preserve"> 1/(Constants!$B$2*Constants!$B$4*(('New Meas. with Drift Comp.'!A3/1000)^2)*'New Meas. with Drift Comp.'!S3)</f>
        <v>4.2882263943150568E-7</v>
      </c>
      <c r="V3" s="9">
        <f xml:space="preserve"> 1/(Constants!$B$2*Constants!$B$4*(('New Meas. with Drift Comp.'!A3/1000)^2)*'New Meas. with Drift Comp.'!R3)</f>
        <v>2.6706422607633007E-6</v>
      </c>
      <c r="W3" s="2">
        <f t="shared" ref="W3:W17" si="0">N3/K3</f>
        <v>2.3381294964028777E-2</v>
      </c>
    </row>
    <row r="4" spans="1:23" s="2" customFormat="1" x14ac:dyDescent="0.35">
      <c r="A4" s="2">
        <v>15</v>
      </c>
      <c r="B4" s="4"/>
      <c r="H4" s="7"/>
      <c r="I4" s="7"/>
      <c r="J4" s="7"/>
      <c r="K4" s="7"/>
      <c r="L4" s="7"/>
      <c r="M4" s="7"/>
      <c r="N4" s="7"/>
      <c r="O4" s="9"/>
      <c r="P4" s="7"/>
      <c r="Q4" s="7"/>
      <c r="R4" s="7"/>
      <c r="S4" s="7"/>
      <c r="T4" s="8" t="e">
        <f xml:space="preserve"> 1/(Constants!$B$2*Constants!$B$4*(('New Meas. with Drift Comp.'!A4/1000)^2)*'New Meas. with Drift Comp.'!Q4)</f>
        <v>#DIV/0!</v>
      </c>
      <c r="U4" s="7" t="e">
        <f xml:space="preserve"> 1/(Constants!$B$2*Constants!$B$4*(('New Meas. with Drift Comp.'!A4/1000)^2)*'New Meas. with Drift Comp.'!S4)</f>
        <v>#DIV/0!</v>
      </c>
      <c r="V4" s="7" t="e">
        <f xml:space="preserve"> 1/(Constants!$B$2*Constants!$B$4*(('New Meas. with Drift Comp.'!A4/1000)^2)*'New Meas. with Drift Comp.'!R4)</f>
        <v>#DIV/0!</v>
      </c>
    </row>
    <row r="5" spans="1:23" s="2" customFormat="1" x14ac:dyDescent="0.35">
      <c r="A5" s="2">
        <v>20</v>
      </c>
      <c r="B5" s="4">
        <v>44907</v>
      </c>
      <c r="C5" s="2">
        <v>2</v>
      </c>
      <c r="D5" s="2">
        <v>308</v>
      </c>
      <c r="E5" s="2" t="s">
        <v>13</v>
      </c>
      <c r="F5" s="2" t="s">
        <v>39</v>
      </c>
      <c r="G5" s="2" t="s">
        <v>6</v>
      </c>
      <c r="H5" s="9">
        <v>0.38950000000000001</v>
      </c>
      <c r="I5" s="9">
        <v>0.38869999999999999</v>
      </c>
      <c r="J5" s="9">
        <v>0.39029999999999998</v>
      </c>
      <c r="K5" s="9">
        <v>5.8299999999999998E-2</v>
      </c>
      <c r="L5" s="9">
        <v>5.7200000000000001E-2</v>
      </c>
      <c r="M5" s="9">
        <v>5.9499999999999997E-2</v>
      </c>
      <c r="N5" s="9">
        <v>1.9E-3</v>
      </c>
      <c r="O5" s="9">
        <v>1.2999999999999999E-3</v>
      </c>
      <c r="P5" s="9">
        <v>2.5000000000000001E-3</v>
      </c>
      <c r="Q5" s="9">
        <v>31</v>
      </c>
      <c r="R5" s="9">
        <v>22.8</v>
      </c>
      <c r="S5" s="9">
        <v>47.4</v>
      </c>
      <c r="T5" s="10">
        <f xml:space="preserve"> 1/(Constants!$B$2*Constants!$B$4*(('New Meas. with Drift Comp.'!A5/1000)^2)*'New Meas. with Drift Comp.'!Q5)</f>
        <v>5.1043727080717931E-7</v>
      </c>
      <c r="U5" s="9">
        <f xml:space="preserve"> 1/(Constants!$B$2*Constants!$B$4*(('New Meas. with Drift Comp.'!A5/1000)^2)*'New Meas. with Drift Comp.'!S5)</f>
        <v>3.3383028259541258E-7</v>
      </c>
      <c r="V5" s="9">
        <f xml:space="preserve"> 1/(Constants!$B$2*Constants!$B$4*(('New Meas. with Drift Comp.'!A5/1000)^2)*'New Meas. with Drift Comp.'!R5)</f>
        <v>6.9401558750098933E-7</v>
      </c>
      <c r="W5" s="2">
        <f t="shared" si="0"/>
        <v>3.2590051457975985E-2</v>
      </c>
    </row>
    <row r="6" spans="1:23" s="2" customFormat="1" x14ac:dyDescent="0.35">
      <c r="A6" s="2">
        <v>25</v>
      </c>
      <c r="B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 t="e">
        <f xml:space="preserve"> 1/(Constants!$B$2*Constants!$B$4*(('New Meas. with Drift Comp.'!A6/1000)^2)*'New Meas. with Drift Comp.'!Q6)</f>
        <v>#DIV/0!</v>
      </c>
      <c r="U6" s="7" t="e">
        <f xml:space="preserve"> 1/(Constants!$B$2*Constants!$B$4*(('New Meas. with Drift Comp.'!A6/1000)^2)*'New Meas. with Drift Comp.'!S6)</f>
        <v>#DIV/0!</v>
      </c>
      <c r="V6" s="7" t="e">
        <f xml:space="preserve"> 1/(Constants!$B$2*Constants!$B$4*(('New Meas. with Drift Comp.'!A6/1000)^2)*'New Meas. with Drift Comp.'!R6)</f>
        <v>#DIV/0!</v>
      </c>
    </row>
    <row r="7" spans="1:23" s="2" customFormat="1" x14ac:dyDescent="0.35">
      <c r="A7" s="2">
        <v>30</v>
      </c>
      <c r="B7" s="4">
        <v>44908</v>
      </c>
      <c r="C7" s="2">
        <v>1</v>
      </c>
      <c r="D7" s="2">
        <v>299</v>
      </c>
      <c r="E7" s="2" t="s">
        <v>13</v>
      </c>
      <c r="F7" s="2" t="s">
        <v>41</v>
      </c>
      <c r="G7" s="2" t="s">
        <v>6</v>
      </c>
      <c r="H7" s="9">
        <v>0.41639999999999999</v>
      </c>
      <c r="I7" s="9">
        <v>0.41570000000000001</v>
      </c>
      <c r="J7" s="9">
        <v>0.41710000000000003</v>
      </c>
      <c r="K7" s="9">
        <v>5.0099999999999999E-2</v>
      </c>
      <c r="L7" s="9">
        <v>4.9200000000000001E-2</v>
      </c>
      <c r="M7" s="9">
        <v>5.11E-2</v>
      </c>
      <c r="N7" s="9">
        <v>1.1999999999999999E-3</v>
      </c>
      <c r="O7" s="9">
        <v>3.5E-4</v>
      </c>
      <c r="P7" s="9">
        <v>2.0999999999999999E-3</v>
      </c>
      <c r="Q7" s="9">
        <v>40.8857</v>
      </c>
      <c r="R7" s="9">
        <v>23.4</v>
      </c>
      <c r="S7" s="9">
        <v>145.80000000000001</v>
      </c>
      <c r="T7" s="10">
        <f xml:space="preserve"> 1/(Constants!$B$2*Constants!$B$4*(('New Meas. with Drift Comp.'!A7/1000)^2)*'New Meas. with Drift Comp.'!Q7)</f>
        <v>1.7200858213694991E-7</v>
      </c>
      <c r="U7" s="9">
        <f xml:space="preserve"> 1/(Constants!$B$2*Constants!$B$4*(('New Meas. with Drift Comp.'!A7/1000)^2)*'New Meas. with Drift Comp.'!S7)</f>
        <v>4.8235194010128208E-8</v>
      </c>
      <c r="V7" s="9">
        <f xml:space="preserve"> 1/(Constants!$B$2*Constants!$B$4*(('New Meas. with Drift Comp.'!A7/1000)^2)*'New Meas. with Drift Comp.'!R7)</f>
        <v>3.0054236267849113E-7</v>
      </c>
      <c r="W7" s="2">
        <f t="shared" si="0"/>
        <v>2.3952095808383232E-2</v>
      </c>
    </row>
    <row r="8" spans="1:23" s="2" customFormat="1" x14ac:dyDescent="0.35">
      <c r="A8" s="2">
        <v>35</v>
      </c>
      <c r="B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 t="e">
        <f xml:space="preserve"> 1/(Constants!$B$2*Constants!$B$4*(('New Meas. with Drift Comp.'!A8/1000)^2)*'New Meas. with Drift Comp.'!Q8)</f>
        <v>#DIV/0!</v>
      </c>
      <c r="U8" s="7" t="e">
        <f xml:space="preserve"> 1/(Constants!$B$2*Constants!$B$4*(('New Meas. with Drift Comp.'!A8/1000)^2)*'New Meas. with Drift Comp.'!S8)</f>
        <v>#DIV/0!</v>
      </c>
      <c r="V8" s="7" t="e">
        <f xml:space="preserve"> 1/(Constants!$B$2*Constants!$B$4*(('New Meas. with Drift Comp.'!A8/1000)^2)*'New Meas. with Drift Comp.'!R8)</f>
        <v>#DIV/0!</v>
      </c>
    </row>
    <row r="9" spans="1:23" s="2" customFormat="1" x14ac:dyDescent="0.35">
      <c r="A9" s="2">
        <v>40</v>
      </c>
      <c r="B9" s="4">
        <v>44908</v>
      </c>
      <c r="C9" s="2">
        <v>2</v>
      </c>
      <c r="D9" s="2">
        <v>300</v>
      </c>
      <c r="E9" s="2" t="s">
        <v>13</v>
      </c>
      <c r="F9" s="2" t="s">
        <v>40</v>
      </c>
      <c r="G9" s="2" t="s">
        <v>6</v>
      </c>
      <c r="H9" s="9">
        <v>0.41839999999999999</v>
      </c>
      <c r="I9" s="9">
        <v>0.41789999999999999</v>
      </c>
      <c r="J9" s="9">
        <v>0.41899999999999998</v>
      </c>
      <c r="K9" s="9">
        <v>3.8199999999999998E-2</v>
      </c>
      <c r="L9" s="9">
        <v>3.7400000000000003E-2</v>
      </c>
      <c r="M9" s="9">
        <v>3.8899999999999997E-2</v>
      </c>
      <c r="N9" s="9">
        <v>1.1999999999999999E-3</v>
      </c>
      <c r="O9" s="9">
        <v>5.4000000000000001E-4</v>
      </c>
      <c r="P9" s="9">
        <v>1.9E-3</v>
      </c>
      <c r="Q9" s="9">
        <v>31.4</v>
      </c>
      <c r="R9" s="9">
        <v>19.8</v>
      </c>
      <c r="S9" s="9">
        <v>72</v>
      </c>
      <c r="T9" s="10">
        <f xml:space="preserve"> 1/(Constants!$B$2*Constants!$B$4*(('New Meas. with Drift Comp.'!A9/1000)^2)*'New Meas. with Drift Comp.'!Q9)</f>
        <v>1.2598372129795032E-7</v>
      </c>
      <c r="U9" s="9">
        <f xml:space="preserve"> 1/(Constants!$B$2*Constants!$B$4*(('New Meas. with Drift Comp.'!A9/1000)^2)*'New Meas. with Drift Comp.'!S9)</f>
        <v>5.494290067716166E-8</v>
      </c>
      <c r="V9" s="9">
        <f xml:space="preserve"> 1/(Constants!$B$2*Constants!$B$4*(('New Meas. with Drift Comp.'!A9/1000)^2)*'New Meas. with Drift Comp.'!R9)</f>
        <v>1.9979236609876968E-7</v>
      </c>
      <c r="W9" s="2">
        <f t="shared" si="0"/>
        <v>3.1413612565445025E-2</v>
      </c>
    </row>
    <row r="10" spans="1:23" s="2" customFormat="1" x14ac:dyDescent="0.35">
      <c r="A10" s="2">
        <v>45</v>
      </c>
      <c r="B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e">
        <f xml:space="preserve"> 1/(Constants!$B$2*Constants!$B$4*(('New Meas. with Drift Comp.'!A10/1000)^2)*'New Meas. with Drift Comp.'!Q10)</f>
        <v>#DIV/0!</v>
      </c>
      <c r="U10" s="7" t="e">
        <f xml:space="preserve"> 1/(Constants!$B$2*Constants!$B$4*(('New Meas. with Drift Comp.'!A10/1000)^2)*'New Meas. with Drift Comp.'!S10)</f>
        <v>#DIV/0!</v>
      </c>
      <c r="V10" s="7" t="e">
        <f xml:space="preserve"> 1/(Constants!$B$2*Constants!$B$4*(('New Meas. with Drift Comp.'!A10/1000)^2)*'New Meas. with Drift Comp.'!R10)</f>
        <v>#DIV/0!</v>
      </c>
    </row>
    <row r="11" spans="1:23" s="2" customFormat="1" x14ac:dyDescent="0.35">
      <c r="A11" s="2">
        <v>50</v>
      </c>
      <c r="B11" s="4">
        <v>44909</v>
      </c>
      <c r="C11" s="2">
        <v>1</v>
      </c>
      <c r="D11" s="2">
        <v>319</v>
      </c>
      <c r="E11" s="2" t="s">
        <v>13</v>
      </c>
      <c r="F11" s="2">
        <v>1</v>
      </c>
      <c r="G11" s="2" t="s">
        <v>6</v>
      </c>
      <c r="H11" s="9">
        <v>0.41880000000000001</v>
      </c>
      <c r="I11" s="9">
        <v>0.41830000000000001</v>
      </c>
      <c r="J11" s="9">
        <v>0.4194</v>
      </c>
      <c r="K11" s="9">
        <v>4.07E-2</v>
      </c>
      <c r="L11" s="9">
        <v>3.9899999999999998E-2</v>
      </c>
      <c r="M11" s="9">
        <v>4.1500000000000002E-2</v>
      </c>
      <c r="N11" s="9">
        <v>1.2999999999999999E-3</v>
      </c>
      <c r="O11" s="9">
        <v>5.6999999999999998E-4</v>
      </c>
      <c r="P11" s="9">
        <v>2E-3</v>
      </c>
      <c r="Q11" s="9">
        <v>31.4</v>
      </c>
      <c r="R11" s="9">
        <v>19.8</v>
      </c>
      <c r="S11" s="9">
        <v>72</v>
      </c>
      <c r="T11" s="10">
        <f xml:space="preserve"> 1/(Constants!$B$2*Constants!$B$4*(('New Meas. with Drift Comp.'!A11/1000)^2)*'New Meas. with Drift Comp.'!Q11)</f>
        <v>8.0629581630688189E-8</v>
      </c>
      <c r="U11" s="9">
        <f xml:space="preserve"> 1/(Constants!$B$2*Constants!$B$4*(('New Meas. with Drift Comp.'!A11/1000)^2)*'New Meas. with Drift Comp.'!S11)</f>
        <v>3.5163456433383456E-8</v>
      </c>
      <c r="V11" s="9">
        <f xml:space="preserve"> 1/(Constants!$B$2*Constants!$B$4*(('New Meas. with Drift Comp.'!A11/1000)^2)*'New Meas. with Drift Comp.'!R11)</f>
        <v>1.2786711430321258E-7</v>
      </c>
      <c r="W11" s="2">
        <f t="shared" si="0"/>
        <v>3.1941031941031942E-2</v>
      </c>
    </row>
    <row r="12" spans="1:23" s="2" customFormat="1" x14ac:dyDescent="0.35">
      <c r="A12" s="2">
        <v>55</v>
      </c>
      <c r="B12" s="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e">
        <f xml:space="preserve"> 1/(Constants!$B$2*Constants!$B$4*(('New Meas. with Drift Comp.'!A12/1000)^2)*'New Meas. with Drift Comp.'!Q12)</f>
        <v>#DIV/0!</v>
      </c>
      <c r="U12" s="7" t="e">
        <f xml:space="preserve"> 1/(Constants!$B$2*Constants!$B$4*(('New Meas. with Drift Comp.'!A12/1000)^2)*'New Meas. with Drift Comp.'!S12)</f>
        <v>#DIV/0!</v>
      </c>
      <c r="V12" s="7" t="e">
        <f xml:space="preserve"> 1/(Constants!$B$2*Constants!$B$4*(('New Meas. with Drift Comp.'!A12/1000)^2)*'New Meas. with Drift Comp.'!R12)</f>
        <v>#DIV/0!</v>
      </c>
    </row>
    <row r="13" spans="1:23" s="2" customFormat="1" x14ac:dyDescent="0.35">
      <c r="A13" s="2">
        <v>60</v>
      </c>
      <c r="B13" s="4">
        <v>44909</v>
      </c>
      <c r="C13" s="2">
        <v>2</v>
      </c>
      <c r="D13" s="2">
        <v>379</v>
      </c>
      <c r="E13" s="2" t="s">
        <v>13</v>
      </c>
      <c r="F13" s="2" t="s">
        <v>42</v>
      </c>
      <c r="G13" s="2" t="s">
        <v>6</v>
      </c>
      <c r="H13" s="9">
        <v>0.43590000000000001</v>
      </c>
      <c r="I13" s="9">
        <v>0.43530000000000002</v>
      </c>
      <c r="J13" s="9">
        <v>0.4365</v>
      </c>
      <c r="K13" s="9">
        <v>1.9699999999999999E-2</v>
      </c>
      <c r="L13" s="9">
        <v>1.89E-2</v>
      </c>
      <c r="M13" s="9">
        <v>2.0500000000000001E-2</v>
      </c>
      <c r="N13" s="9">
        <v>2.5000000000000001E-3</v>
      </c>
      <c r="O13" s="9">
        <v>1.6999999999999999E-3</v>
      </c>
      <c r="P13" s="9">
        <v>2.8999999999999998E-3</v>
      </c>
      <c r="Q13" s="9">
        <v>7.8827999999999996</v>
      </c>
      <c r="R13" s="9">
        <v>6.4588000000000001</v>
      </c>
      <c r="S13" s="9">
        <v>11.88</v>
      </c>
      <c r="T13" s="10">
        <f xml:space="preserve"> 1/(Constants!$B$2*Constants!$B$4*(('New Meas. with Drift Comp.'!A13/1000)^2)*'New Meas. with Drift Comp.'!Q13)</f>
        <v>2.2303912590312749E-7</v>
      </c>
      <c r="U13" s="9">
        <f xml:space="preserve"> 1/(Constants!$B$2*Constants!$B$4*(('New Meas. with Drift Comp.'!A13/1000)^2)*'New Meas. with Drift Comp.'!S13)</f>
        <v>1.4799434525834791E-7</v>
      </c>
      <c r="V13" s="9">
        <f xml:space="preserve"> 1/(Constants!$B$2*Constants!$B$4*(('New Meas. with Drift Comp.'!A13/1000)^2)*'New Meas. with Drift Comp.'!R13)</f>
        <v>2.7221354147352033E-7</v>
      </c>
      <c r="W13" s="2">
        <f t="shared" si="0"/>
        <v>0.12690355329949241</v>
      </c>
    </row>
    <row r="14" spans="1:23" s="2" customFormat="1" x14ac:dyDescent="0.35">
      <c r="A14" s="2">
        <v>65</v>
      </c>
      <c r="B14" s="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 t="e">
        <f xml:space="preserve"> 1/(Constants!$B$2*Constants!$B$4*(('New Meas. with Drift Comp.'!A14/1000)^2)*'New Meas. with Drift Comp.'!Q14)</f>
        <v>#DIV/0!</v>
      </c>
      <c r="U14" s="7" t="e">
        <f xml:space="preserve"> 1/(Constants!$B$2*Constants!$B$4*(('New Meas. with Drift Comp.'!A14/1000)^2)*'New Meas. with Drift Comp.'!S14)</f>
        <v>#DIV/0!</v>
      </c>
      <c r="V14" s="7" t="e">
        <f xml:space="preserve"> 1/(Constants!$B$2*Constants!$B$4*(('New Meas. with Drift Comp.'!A14/1000)^2)*'New Meas. with Drift Comp.'!R14)</f>
        <v>#DIV/0!</v>
      </c>
    </row>
    <row r="15" spans="1:23" s="2" customFormat="1" x14ac:dyDescent="0.35">
      <c r="A15" s="2">
        <v>70</v>
      </c>
      <c r="B15" s="4">
        <v>44910</v>
      </c>
      <c r="C15" s="2">
        <v>1</v>
      </c>
      <c r="D15" s="2">
        <v>446</v>
      </c>
      <c r="E15" s="2" t="s">
        <v>13</v>
      </c>
      <c r="F15" s="2" t="s">
        <v>43</v>
      </c>
      <c r="G15" s="2" t="s">
        <v>6</v>
      </c>
      <c r="H15" s="9">
        <v>0.44090000000000001</v>
      </c>
      <c r="I15" s="9">
        <v>0.43969999999999998</v>
      </c>
      <c r="J15" s="9">
        <v>0.44219999999999998</v>
      </c>
      <c r="K15" s="9">
        <v>5.0900000000000001E-2</v>
      </c>
      <c r="L15" s="9">
        <v>4.99E-2</v>
      </c>
      <c r="M15" s="9">
        <v>5.1900000000000002E-2</v>
      </c>
      <c r="N15" s="9">
        <v>2.8E-3</v>
      </c>
      <c r="O15" s="9">
        <v>1.9E-3</v>
      </c>
      <c r="P15" s="9">
        <v>3.7000000000000002E-3</v>
      </c>
      <c r="Q15" s="9">
        <v>18.12</v>
      </c>
      <c r="R15" s="9">
        <v>13.32</v>
      </c>
      <c r="S15" s="9">
        <v>27.72</v>
      </c>
      <c r="T15" s="10">
        <f xml:space="preserve"> 1/(Constants!$B$2*Constants!$B$4*(('New Meas. with Drift Comp.'!A15/1000)^2)*'New Meas. with Drift Comp.'!Q15)</f>
        <v>7.1286909920361115E-8</v>
      </c>
      <c r="U15" s="9">
        <f xml:space="preserve"> 1/(Constants!$B$2*Constants!$B$4*(('New Meas. with Drift Comp.'!A15/1000)^2)*'New Meas. with Drift Comp.'!S15)</f>
        <v>4.6598802588634319E-8</v>
      </c>
      <c r="V15" s="9">
        <f xml:space="preserve"> 1/(Constants!$B$2*Constants!$B$4*(('New Meas. with Drift Comp.'!A15/1000)^2)*'New Meas. with Drift Comp.'!R15)</f>
        <v>9.6975886468238984E-8</v>
      </c>
      <c r="W15" s="2">
        <f t="shared" si="0"/>
        <v>5.50098231827112E-2</v>
      </c>
    </row>
    <row r="16" spans="1:23" s="2" customFormat="1" x14ac:dyDescent="0.35">
      <c r="A16" s="2">
        <v>75</v>
      </c>
      <c r="B16" s="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 t="e">
        <f xml:space="preserve"> 1/(Constants!$B$2*Constants!$B$4*(('New Meas. with Drift Comp.'!A16/1000)^2)*'New Meas. with Drift Comp.'!Q16)</f>
        <v>#DIV/0!</v>
      </c>
      <c r="U16" s="7" t="e">
        <f xml:space="preserve"> 1/(Constants!$B$2*Constants!$B$4*(('New Meas. with Drift Comp.'!A16/1000)^2)*'New Meas. with Drift Comp.'!S16)</f>
        <v>#DIV/0!</v>
      </c>
      <c r="V16" s="7" t="e">
        <f xml:space="preserve"> 1/(Constants!$B$2*Constants!$B$4*(('New Meas. with Drift Comp.'!A16/1000)^2)*'New Meas. with Drift Comp.'!R16)</f>
        <v>#DIV/0!</v>
      </c>
    </row>
    <row r="17" spans="1:23" s="2" customFormat="1" x14ac:dyDescent="0.35">
      <c r="A17" s="2">
        <v>80</v>
      </c>
      <c r="B17" s="4">
        <v>44910</v>
      </c>
      <c r="C17" s="2">
        <v>2</v>
      </c>
      <c r="D17" s="2">
        <v>569</v>
      </c>
      <c r="E17" s="2" t="s">
        <v>13</v>
      </c>
      <c r="F17" s="2" t="s">
        <v>44</v>
      </c>
      <c r="G17" s="2" t="s">
        <v>6</v>
      </c>
      <c r="H17" s="9">
        <v>0.4425</v>
      </c>
      <c r="I17" s="9">
        <v>0.44159999999999999</v>
      </c>
      <c r="J17" s="9">
        <v>0.44330000000000003</v>
      </c>
      <c r="K17" s="9">
        <v>1.78E-2</v>
      </c>
      <c r="L17" s="9">
        <v>1.66E-2</v>
      </c>
      <c r="M17" s="9">
        <v>1.9E-2</v>
      </c>
      <c r="N17" s="9">
        <v>2.7000000000000001E-3</v>
      </c>
      <c r="O17" s="9">
        <v>1.6000000000000001E-3</v>
      </c>
      <c r="P17" s="9">
        <v>3.5999999999999999E-3</v>
      </c>
      <c r="Q17" s="9">
        <v>6.4702999999999999</v>
      </c>
      <c r="R17" s="9">
        <v>4.6500000000000004</v>
      </c>
      <c r="S17" s="9">
        <v>11.6182</v>
      </c>
      <c r="T17" s="10">
        <f xml:space="preserve"> 1/(Constants!$B$2*Constants!$B$4*(('New Meas. with Drift Comp.'!A17/1000)^2)*'New Meas. with Drift Comp.'!Q17)</f>
        <v>1.5284796874780302E-7</v>
      </c>
      <c r="U17" s="9">
        <f xml:space="preserve"> 1/(Constants!$B$2*Constants!$B$4*(('New Meas. with Drift Comp.'!A17/1000)^2)*'New Meas. with Drift Comp.'!S17)</f>
        <v>8.5122670653707955E-8</v>
      </c>
      <c r="V17" s="9">
        <f xml:space="preserve"> 1/(Constants!$B$2*Constants!$B$4*(('New Meas. with Drift Comp.'!A17/1000)^2)*'New Meas. with Drift Comp.'!R17)</f>
        <v>2.1268219616965802E-7</v>
      </c>
      <c r="W17" s="2">
        <f t="shared" si="0"/>
        <v>0.15168539325842698</v>
      </c>
    </row>
    <row r="18" spans="1:23" s="2" customFormat="1" x14ac:dyDescent="0.35">
      <c r="A18" s="2">
        <v>85</v>
      </c>
      <c r="B18" s="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 t="e">
        <f xml:space="preserve"> 1/(Constants!$B$2*Constants!$B$4*(('New Meas. with Drift Comp.'!A18/1000)^2)*'New Meas. with Drift Comp.'!Q18)</f>
        <v>#DIV/0!</v>
      </c>
      <c r="U18" s="7" t="e">
        <f xml:space="preserve"> 1/(Constants!$B$2*Constants!$B$4*(('New Meas. with Drift Comp.'!A18/1000)^2)*'New Meas. with Drift Comp.'!S18)</f>
        <v>#DIV/0!</v>
      </c>
      <c r="V18" s="7" t="e">
        <f xml:space="preserve"> 1/(Constants!$B$2*Constants!$B$4*(('New Meas. with Drift Comp.'!A18/1000)^2)*'New Meas. with Drift Comp.'!R18)</f>
        <v>#DIV/0!</v>
      </c>
    </row>
    <row r="19" spans="1:23" s="2" customFormat="1" x14ac:dyDescent="0.35">
      <c r="A19" s="2">
        <v>90</v>
      </c>
      <c r="B19" s="4">
        <v>44910</v>
      </c>
      <c r="C19" s="2">
        <v>3</v>
      </c>
      <c r="D19" s="2">
        <v>563</v>
      </c>
      <c r="E19" s="2" t="s">
        <v>13</v>
      </c>
      <c r="F19" s="2" t="s">
        <v>45</v>
      </c>
      <c r="G19" s="2" t="s">
        <v>6</v>
      </c>
      <c r="H19" s="9">
        <v>0.45140000000000002</v>
      </c>
      <c r="I19" s="9">
        <v>0.45050000000000001</v>
      </c>
      <c r="J19" s="9">
        <v>0.45229999999999998</v>
      </c>
      <c r="K19" s="9">
        <v>3.4500000000000003E-2</v>
      </c>
      <c r="L19" s="9">
        <v>3.3300000000000003E-2</v>
      </c>
      <c r="M19" s="9">
        <v>3.5700000000000003E-2</v>
      </c>
      <c r="N19" s="9">
        <v>2.2000000000000001E-3</v>
      </c>
      <c r="O19" s="9">
        <v>1.2999999999999999E-3</v>
      </c>
      <c r="P19" s="9">
        <v>3.0999999999999999E-3</v>
      </c>
      <c r="Q19" s="9">
        <v>15.5647</v>
      </c>
      <c r="R19" s="9">
        <v>10.65</v>
      </c>
      <c r="S19" s="9">
        <v>27.36</v>
      </c>
      <c r="T19" s="10">
        <f xml:space="preserve"> 1/(Constants!$B$2*Constants!$B$4*(('New Meas. with Drift Comp.'!A19/1000)^2)*'New Meas. with Drift Comp.'!Q19)</f>
        <v>5.020399641265666E-8</v>
      </c>
      <c r="U19" s="9">
        <f xml:space="preserve"> 1/(Constants!$B$2*Constants!$B$4*(('New Meas. with Drift Comp.'!A19/1000)^2)*'New Meas. with Drift Comp.'!S19)</f>
        <v>2.8560312242839074E-8</v>
      </c>
      <c r="V19" s="9">
        <f xml:space="preserve"> 1/(Constants!$B$2*Constants!$B$4*(('New Meas. with Drift Comp.'!A19/1000)^2)*'New Meas. with Drift Comp.'!R19)</f>
        <v>7.3371844409772484E-8</v>
      </c>
      <c r="W19" s="2">
        <f>N19/K19</f>
        <v>6.3768115942028983E-2</v>
      </c>
    </row>
    <row r="20" spans="1:23" s="2" customFormat="1" x14ac:dyDescent="0.35">
      <c r="A20" s="2">
        <v>95</v>
      </c>
      <c r="B20" s="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 t="e">
        <f xml:space="preserve"> 1/(Constants!$B$2*Constants!$B$4*(('New Meas. with Drift Comp.'!A20/1000)^2)*'New Meas. with Drift Comp.'!Q20)</f>
        <v>#DIV/0!</v>
      </c>
      <c r="U20" s="7" t="e">
        <f xml:space="preserve"> 1/(Constants!$B$2*Constants!$B$4*(('New Meas. with Drift Comp.'!A20/1000)^2)*'New Meas. with Drift Comp.'!S20)</f>
        <v>#DIV/0!</v>
      </c>
      <c r="V20" s="7" t="e">
        <f xml:space="preserve"> 1/(Constants!$B$2*Constants!$B$4*(('New Meas. with Drift Comp.'!A20/1000)^2)*'New Meas. with Drift Comp.'!R20)</f>
        <v>#DIV/0!</v>
      </c>
    </row>
    <row r="21" spans="1:23" s="2" customFormat="1" x14ac:dyDescent="0.35">
      <c r="A21" s="2">
        <v>100</v>
      </c>
      <c r="B21" s="4">
        <v>44910</v>
      </c>
      <c r="C21" s="2">
        <v>4</v>
      </c>
      <c r="D21" s="2">
        <v>444</v>
      </c>
      <c r="E21" s="2" t="s">
        <v>13</v>
      </c>
      <c r="F21" s="2" t="s">
        <v>46</v>
      </c>
      <c r="G21" s="2" t="s">
        <v>6</v>
      </c>
      <c r="H21" s="9">
        <v>0.47320000000000001</v>
      </c>
      <c r="I21" s="9">
        <v>0.47220000000000001</v>
      </c>
      <c r="J21" s="9">
        <v>0.47420000000000001</v>
      </c>
      <c r="K21" s="9">
        <v>2.7099999999999999E-2</v>
      </c>
      <c r="L21" s="9">
        <v>2.6100000000000002E-2</v>
      </c>
      <c r="M21" s="9">
        <v>2.81E-2</v>
      </c>
      <c r="N21" s="9">
        <v>2.5000000000000001E-3</v>
      </c>
      <c r="O21" s="9">
        <v>1.5E-3</v>
      </c>
      <c r="P21" s="9">
        <v>3.5000000000000001E-3</v>
      </c>
      <c r="Q21" s="9">
        <v>10.878299999999999</v>
      </c>
      <c r="R21" s="9">
        <v>7.5374999999999996</v>
      </c>
      <c r="S21" s="9">
        <v>18.514299999999999</v>
      </c>
      <c r="T21" s="10">
        <f xml:space="preserve"> 1/(Constants!$B$2*Constants!$B$4*(('New Meas. with Drift Comp.'!A21/1000)^2)*'New Meas. with Drift Comp.'!Q21)</f>
        <v>5.818392724974511E-8</v>
      </c>
      <c r="U21" s="9">
        <f xml:space="preserve"> 1/(Constants!$B$2*Constants!$B$4*(('New Meas. with Drift Comp.'!A21/1000)^2)*'New Meas. with Drift Comp.'!S21)</f>
        <v>3.4186667376076994E-8</v>
      </c>
      <c r="V21" s="9">
        <f xml:space="preserve"> 1/(Constants!$B$2*Constants!$B$4*(('New Meas. with Drift Comp.'!A21/1000)^2)*'New Meas. with Drift Comp.'!R21)</f>
        <v>8.3972433273751547E-8</v>
      </c>
      <c r="W21" s="2">
        <f t="shared" ref="W21:W31" si="1">N21/K21</f>
        <v>9.2250922509225092E-2</v>
      </c>
    </row>
    <row r="22" spans="1:23" s="2" customFormat="1" x14ac:dyDescent="0.35">
      <c r="A22" s="2">
        <v>105</v>
      </c>
      <c r="B22" s="4">
        <v>44914</v>
      </c>
      <c r="C22" s="2">
        <v>1</v>
      </c>
      <c r="D22" s="2">
        <v>301</v>
      </c>
      <c r="E22" s="2" t="s">
        <v>13</v>
      </c>
      <c r="F22" s="2" t="s">
        <v>47</v>
      </c>
      <c r="G22" s="2" t="s">
        <v>6</v>
      </c>
      <c r="H22" s="9">
        <v>0.45100000000000001</v>
      </c>
      <c r="I22" s="9">
        <v>0.4496</v>
      </c>
      <c r="J22" s="9">
        <v>0.45250000000000001</v>
      </c>
      <c r="K22" s="9">
        <v>2.6200000000000001E-2</v>
      </c>
      <c r="L22" s="9">
        <v>2.47E-2</v>
      </c>
      <c r="M22" s="9">
        <v>2.7799999999999998E-2</v>
      </c>
      <c r="N22" s="9">
        <v>5.0000000000000001E-3</v>
      </c>
      <c r="O22" s="9">
        <v>3.3999999999999998E-3</v>
      </c>
      <c r="P22" s="9">
        <v>6.1000000000000004E-3</v>
      </c>
      <c r="Q22" s="9">
        <v>5.2244000000000002</v>
      </c>
      <c r="R22" s="9">
        <v>4.032</v>
      </c>
      <c r="S22" s="9">
        <v>8.1</v>
      </c>
      <c r="T22" s="10">
        <f xml:space="preserve"> 1/(Constants!$B$2*Constants!$B$4*(('New Meas. with Drift Comp.'!A22/1000)^2)*'New Meas. with Drift Comp.'!Q22)</f>
        <v>1.0988769004899606E-7</v>
      </c>
      <c r="U22" s="9">
        <f xml:space="preserve"> 1/(Constants!$B$2*Constants!$B$4*(('New Meas. with Drift Comp.'!A22/1000)^2)*'New Meas. with Drift Comp.'!S22)</f>
        <v>7.0876203443453711E-8</v>
      </c>
      <c r="V22" s="9">
        <f xml:space="preserve"> 1/(Constants!$B$2*Constants!$B$4*(('New Meas. with Drift Comp.'!A22/1000)^2)*'New Meas. with Drift Comp.'!R22)</f>
        <v>1.4238523013193825E-7</v>
      </c>
      <c r="W22" s="2">
        <f t="shared" si="1"/>
        <v>0.19083969465648853</v>
      </c>
    </row>
    <row r="23" spans="1:23" s="2" customFormat="1" x14ac:dyDescent="0.35">
      <c r="A23" s="2">
        <v>110</v>
      </c>
      <c r="B23" s="4">
        <v>44911</v>
      </c>
      <c r="C23" s="2">
        <v>1</v>
      </c>
      <c r="D23" s="2">
        <v>302</v>
      </c>
      <c r="E23" s="2" t="s">
        <v>13</v>
      </c>
      <c r="F23" s="2" t="s">
        <v>48</v>
      </c>
      <c r="G23" s="2" t="s">
        <v>6</v>
      </c>
      <c r="H23" s="9">
        <v>0.4778</v>
      </c>
      <c r="I23" s="9">
        <v>0.47670000000000001</v>
      </c>
      <c r="J23" s="9">
        <v>0.47899999999999998</v>
      </c>
      <c r="K23" s="9">
        <v>1.7000000000000001E-2</v>
      </c>
      <c r="L23" s="9">
        <v>1.54E-2</v>
      </c>
      <c r="M23" s="9">
        <v>1.8499999999999999E-2</v>
      </c>
      <c r="N23" s="9">
        <v>5.3E-3</v>
      </c>
      <c r="O23" s="9">
        <v>4.1000000000000003E-3</v>
      </c>
      <c r="P23" s="9">
        <v>6.4999999999999997E-3</v>
      </c>
      <c r="Q23" s="9">
        <v>3.1894999999999998</v>
      </c>
      <c r="R23" s="9">
        <v>2.3656999999999999</v>
      </c>
      <c r="S23" s="9">
        <v>4.5</v>
      </c>
      <c r="T23" s="10">
        <f xml:space="preserve"> 1/(Constants!$B$2*Constants!$B$4*(('New Meas. with Drift Comp.'!A23/1000)^2)*'New Meas. with Drift Comp.'!Q23)</f>
        <v>1.6400462151789441E-7</v>
      </c>
      <c r="U23" s="9">
        <f xml:space="preserve"> 1/(Constants!$B$2*Constants!$B$4*(('New Meas. with Drift Comp.'!A23/1000)^2)*'New Meas. with Drift Comp.'!S23)</f>
        <v>1.1624283118473873E-7</v>
      </c>
      <c r="V23" s="9">
        <f xml:space="preserve"> 1/(Constants!$B$2*Constants!$B$4*(('New Meas. with Drift Comp.'!A23/1000)^2)*'New Meas. with Drift Comp.'!R23)</f>
        <v>2.2111541629594805E-7</v>
      </c>
      <c r="W23" s="2">
        <f t="shared" si="1"/>
        <v>0.31176470588235294</v>
      </c>
    </row>
    <row r="24" spans="1:23" s="2" customFormat="1" x14ac:dyDescent="0.35">
      <c r="A24" s="2">
        <v>115</v>
      </c>
      <c r="B24" s="4">
        <v>44915</v>
      </c>
      <c r="C24" s="2">
        <v>2</v>
      </c>
      <c r="D24" s="2">
        <v>352</v>
      </c>
      <c r="E24" s="2" t="s">
        <v>13</v>
      </c>
      <c r="F24" s="2" t="s">
        <v>49</v>
      </c>
      <c r="G24" s="2" t="s">
        <v>6</v>
      </c>
      <c r="H24" s="9">
        <v>0.45810000000000001</v>
      </c>
      <c r="I24" s="9">
        <v>0.45760000000000001</v>
      </c>
      <c r="J24" s="9">
        <v>0.45850000000000002</v>
      </c>
      <c r="K24" s="9">
        <v>7.4999999999999997E-3</v>
      </c>
      <c r="L24" s="9">
        <v>6.7999999999999996E-3</v>
      </c>
      <c r="M24" s="9">
        <v>8.2000000000000007E-3</v>
      </c>
      <c r="N24" s="9">
        <v>2.5000000000000001E-3</v>
      </c>
      <c r="O24" s="9">
        <v>2E-3</v>
      </c>
      <c r="P24" s="9">
        <v>3.0999999999999999E-3</v>
      </c>
      <c r="Q24" s="9">
        <v>2.9803000000000002</v>
      </c>
      <c r="R24" s="9">
        <v>2.2378</v>
      </c>
      <c r="S24" s="9">
        <v>4.125</v>
      </c>
      <c r="T24" s="10">
        <f xml:space="preserve"> 1/(Constants!$B$2*Constants!$B$4*(('New Meas. with Drift Comp.'!A24/1000)^2)*'New Meas. with Drift Comp.'!Q24)</f>
        <v>1.6058626589358396E-7</v>
      </c>
      <c r="U24" s="9">
        <f xml:space="preserve"> 1/(Constants!$B$2*Constants!$B$4*(('New Meas. with Drift Comp.'!A24/1000)^2)*'New Meas. with Drift Comp.'!S24)</f>
        <v>1.1602309048306625E-7</v>
      </c>
      <c r="V24" s="9">
        <f xml:space="preserve"> 1/(Constants!$B$2*Constants!$B$4*(('New Meas. with Drift Comp.'!A24/1000)^2)*'New Meas. with Drift Comp.'!R24)</f>
        <v>2.138686425250908E-7</v>
      </c>
      <c r="W24" s="2">
        <f t="shared" si="1"/>
        <v>0.33333333333333337</v>
      </c>
    </row>
    <row r="25" spans="1:23" s="2" customFormat="1" x14ac:dyDescent="0.35">
      <c r="A25" s="2">
        <v>120</v>
      </c>
      <c r="B25" s="4">
        <v>44914</v>
      </c>
      <c r="C25" s="2">
        <v>3</v>
      </c>
      <c r="D25" s="2">
        <v>155</v>
      </c>
      <c r="E25" s="2" t="s">
        <v>13</v>
      </c>
      <c r="F25" s="2" t="s">
        <v>50</v>
      </c>
      <c r="G25" s="2" t="s">
        <v>6</v>
      </c>
      <c r="H25" s="9">
        <v>0.45100000000000001</v>
      </c>
      <c r="I25" s="9">
        <v>0.45029999999999998</v>
      </c>
      <c r="J25" s="9">
        <v>0.45169999999999999</v>
      </c>
      <c r="K25" s="9">
        <v>6.4000000000000003E-3</v>
      </c>
      <c r="L25" s="9">
        <v>5.3E-3</v>
      </c>
      <c r="M25" s="9">
        <v>7.4999999999999997E-3</v>
      </c>
      <c r="N25" s="9">
        <v>2.5000000000000001E-3</v>
      </c>
      <c r="O25" s="9">
        <v>1.4E-3</v>
      </c>
      <c r="P25" s="9">
        <v>3.3999999999999998E-3</v>
      </c>
      <c r="Q25" s="9">
        <v>2.5825999999999998</v>
      </c>
      <c r="R25" s="9">
        <v>1.5702</v>
      </c>
      <c r="S25" s="9">
        <v>5.22</v>
      </c>
      <c r="T25" s="10">
        <f xml:space="preserve"> 1/(Constants!$B$2*Constants!$B$4*(('New Meas. with Drift Comp.'!A25/1000)^2)*'New Meas. with Drift Comp.'!Q25)</f>
        <v>1.7019407009110717E-7</v>
      </c>
      <c r="U25" s="9">
        <f xml:space="preserve"> 1/(Constants!$B$2*Constants!$B$4*(('New Meas. with Drift Comp.'!A25/1000)^2)*'New Meas. with Drift Comp.'!S25)</f>
        <v>8.4203679198715204E-8</v>
      </c>
      <c r="V25" s="9">
        <f xml:space="preserve"> 1/(Constants!$B$2*Constants!$B$4*(('New Meas. with Drift Comp.'!A25/1000)^2)*'New Meas. with Drift Comp.'!R25)</f>
        <v>2.7992816546764319E-7</v>
      </c>
      <c r="W25" s="2">
        <f t="shared" si="1"/>
        <v>0.390625</v>
      </c>
    </row>
    <row r="26" spans="1:23" s="2" customFormat="1" x14ac:dyDescent="0.35">
      <c r="A26" s="2">
        <v>125</v>
      </c>
      <c r="B26" s="4">
        <v>44915</v>
      </c>
      <c r="C26" s="2">
        <v>1</v>
      </c>
      <c r="D26" s="2">
        <v>338</v>
      </c>
      <c r="E26" s="2" t="s">
        <v>13</v>
      </c>
      <c r="F26" s="2">
        <v>1</v>
      </c>
      <c r="G26" s="2" t="s">
        <v>6</v>
      </c>
      <c r="H26" s="9">
        <v>0.45610000000000001</v>
      </c>
      <c r="I26" s="9">
        <v>0.45550000000000002</v>
      </c>
      <c r="J26" s="9">
        <v>0.45669999999999999</v>
      </c>
      <c r="K26" s="9">
        <v>7.1000000000000004E-3</v>
      </c>
      <c r="L26" s="9">
        <v>6.3E-3</v>
      </c>
      <c r="M26" s="9">
        <v>7.9000000000000008E-3</v>
      </c>
      <c r="N26" s="9">
        <v>3.0000000000000001E-3</v>
      </c>
      <c r="O26" s="9" t="s">
        <v>16</v>
      </c>
      <c r="P26" s="9">
        <v>3.5000000000000001E-3</v>
      </c>
      <c r="Q26" s="9">
        <v>2.3902000000000001</v>
      </c>
      <c r="R26" s="9">
        <v>1.8</v>
      </c>
      <c r="S26" s="9">
        <v>3.5217000000000001</v>
      </c>
      <c r="T26" s="10">
        <f xml:space="preserve"> 1/(Constants!$B$2*Constants!$B$4*(('New Meas. with Drift Comp.'!A26/1000)^2)*'New Meas. with Drift Comp.'!Q26)</f>
        <v>1.6947662041359616E-7</v>
      </c>
      <c r="U26" s="9">
        <f xml:space="preserve"> 1/(Constants!$B$2*Constants!$B$4*(('New Meas. with Drift Comp.'!A26/1000)^2)*'New Meas. with Drift Comp.'!S26)</f>
        <v>1.1502485109821322E-7</v>
      </c>
      <c r="V26" s="9">
        <f xml:space="preserve"> 1/(Constants!$B$2*Constants!$B$4*(('New Meas. with Drift Comp.'!A26/1000)^2)*'New Meas. with Drift Comp.'!R26)</f>
        <v>2.2504612117365417E-7</v>
      </c>
      <c r="W26" s="2">
        <f t="shared" si="1"/>
        <v>0.42253521126760563</v>
      </c>
    </row>
    <row r="27" spans="1:23" s="2" customFormat="1" x14ac:dyDescent="0.35">
      <c r="A27" s="2">
        <v>130</v>
      </c>
      <c r="B27" s="4">
        <v>44915</v>
      </c>
      <c r="C27" s="2">
        <v>3</v>
      </c>
      <c r="D27" s="2">
        <v>387</v>
      </c>
      <c r="E27" s="2" t="s">
        <v>13</v>
      </c>
      <c r="F27" s="2" t="s">
        <v>51</v>
      </c>
      <c r="G27" s="2" t="s">
        <v>6</v>
      </c>
      <c r="H27" s="9">
        <v>0.46300000000000002</v>
      </c>
      <c r="I27" s="9">
        <v>0.46250000000000002</v>
      </c>
      <c r="J27" s="9">
        <v>0.46350000000000002</v>
      </c>
      <c r="K27" s="9">
        <v>5.4000000000000003E-3</v>
      </c>
      <c r="L27" s="9">
        <v>4.5999999999999999E-3</v>
      </c>
      <c r="M27" s="9">
        <v>6.3E-3</v>
      </c>
      <c r="N27" s="9">
        <v>2.5999999999999999E-3</v>
      </c>
      <c r="O27" s="9">
        <v>2E-3</v>
      </c>
      <c r="P27" s="9">
        <v>3.2000000000000002E-3</v>
      </c>
      <c r="Q27" s="9">
        <v>2.1042000000000001</v>
      </c>
      <c r="R27" s="9">
        <v>1.4318</v>
      </c>
      <c r="S27" s="9">
        <v>3.2</v>
      </c>
      <c r="T27" s="10">
        <f xml:space="preserve"> 1/(Constants!$B$2*Constants!$B$4*(('New Meas. with Drift Comp.'!A27/1000)^2)*'New Meas. with Drift Comp.'!Q27)</f>
        <v>1.7798784392356516E-7</v>
      </c>
      <c r="U27" s="9">
        <f xml:space="preserve"> 1/(Constants!$B$2*Constants!$B$4*(('New Meas. with Drift Comp.'!A27/1000)^2)*'New Meas. with Drift Comp.'!S27)</f>
        <v>1.1703813161998932E-7</v>
      </c>
      <c r="V27" s="9">
        <f xml:space="preserve"> 1/(Constants!$B$2*Constants!$B$4*(('New Meas. with Drift Comp.'!A27/1000)^2)*'New Meas. with Drift Comp.'!R27)</f>
        <v>2.6157425700793814E-7</v>
      </c>
      <c r="W27" s="2">
        <f t="shared" si="1"/>
        <v>0.48148148148148145</v>
      </c>
    </row>
    <row r="28" spans="1:23" s="12" customFormat="1" x14ac:dyDescent="0.35">
      <c r="A28" s="12">
        <v>135</v>
      </c>
      <c r="B28" s="13">
        <v>44915</v>
      </c>
      <c r="C28" s="12">
        <v>5</v>
      </c>
      <c r="D28" s="12">
        <v>318</v>
      </c>
      <c r="E28" s="12" t="s">
        <v>13</v>
      </c>
      <c r="F28" s="12" t="s">
        <v>52</v>
      </c>
      <c r="G28" s="12" t="s">
        <v>6</v>
      </c>
      <c r="H28" s="14">
        <v>0.47839999999999999</v>
      </c>
      <c r="I28" s="14">
        <v>0.47799999999999998</v>
      </c>
      <c r="J28" s="14">
        <v>0.47870000000000001</v>
      </c>
      <c r="K28" s="14">
        <v>2.8E-3</v>
      </c>
      <c r="L28" s="14">
        <v>4.0000000000000002E-4</v>
      </c>
      <c r="M28" s="14">
        <v>5.1000000000000004E-3</v>
      </c>
      <c r="N28" s="14">
        <v>1.9E-3</v>
      </c>
      <c r="O28" s="14">
        <v>8.9999999999999998E-4</v>
      </c>
      <c r="P28" s="14">
        <v>2.7000000000000001E-3</v>
      </c>
      <c r="Q28" s="14">
        <v>1.4888999999999999</v>
      </c>
      <c r="R28" s="14">
        <v>0.1525</v>
      </c>
      <c r="S28" s="14">
        <v>5.58</v>
      </c>
      <c r="T28" s="15">
        <f xml:space="preserve"> 1/(Constants!$B$2*Constants!$B$4*(('New Meas. with Drift Comp.'!A28/1000)^2)*'New Meas. with Drift Comp.'!Q28)</f>
        <v>2.332550183846619E-7</v>
      </c>
      <c r="U28" s="14">
        <f xml:space="preserve"> 1/(Constants!$B$2*Constants!$B$4*(('New Meas. with Drift Comp.'!A28/1000)^2)*'New Meas. with Drift Comp.'!S28)</f>
        <v>6.2238960013068652E-8</v>
      </c>
      <c r="V28" s="14">
        <f xml:space="preserve"> 1/(Constants!$B$2*Constants!$B$4*(('New Meas. with Drift Comp.'!A28/1000)^2)*'New Meas. with Drift Comp.'!R28)</f>
        <v>2.2773337499863806E-6</v>
      </c>
      <c r="W28" s="2">
        <f t="shared" si="1"/>
        <v>0.6785714285714286</v>
      </c>
    </row>
    <row r="29" spans="1:23" s="2" customFormat="1" x14ac:dyDescent="0.35">
      <c r="A29" s="2">
        <v>140</v>
      </c>
      <c r="B29" s="4">
        <v>44915</v>
      </c>
      <c r="C29" s="2">
        <v>6</v>
      </c>
      <c r="D29" s="2">
        <v>347</v>
      </c>
      <c r="E29" s="2" t="s">
        <v>13</v>
      </c>
      <c r="F29" s="2">
        <v>1</v>
      </c>
      <c r="G29" s="2" t="s">
        <v>6</v>
      </c>
      <c r="H29" s="9">
        <v>0.44490000000000002</v>
      </c>
      <c r="I29" s="9">
        <v>0.44429999999999997</v>
      </c>
      <c r="J29" s="9">
        <v>0.44550000000000001</v>
      </c>
      <c r="K29" s="9">
        <v>6.4999999999999997E-3</v>
      </c>
      <c r="L29" s="9">
        <v>5.7999999999999996E-3</v>
      </c>
      <c r="M29" s="9">
        <v>7.3000000000000001E-3</v>
      </c>
      <c r="N29" s="9">
        <v>2.5000000000000001E-3</v>
      </c>
      <c r="O29" s="9">
        <v>2E-3</v>
      </c>
      <c r="P29" s="9">
        <v>3.0999999999999999E-3</v>
      </c>
      <c r="Q29" s="9">
        <v>2.5754000000000001</v>
      </c>
      <c r="R29" s="9">
        <v>1.845</v>
      </c>
      <c r="S29" s="9">
        <v>3.7440000000000002</v>
      </c>
      <c r="T29" s="10">
        <f xml:space="preserve"> 1/(Constants!$B$2*Constants!$B$4*(('New Meas. with Drift Comp.'!A29/1000)^2)*'New Meas. with Drift Comp.'!Q29)</f>
        <v>1.2539011491000847E-7</v>
      </c>
      <c r="U29" s="9">
        <f xml:space="preserve"> 1/(Constants!$B$2*Constants!$B$4*(('New Meas. with Drift Comp.'!A29/1000)^2)*'New Meas. with Drift Comp.'!S29)</f>
        <v>8.6252591329924108E-8</v>
      </c>
      <c r="V29" s="9">
        <f xml:space="preserve"> 1/(Constants!$B$2*Constants!$B$4*(('New Meas. with Drift Comp.'!A29/1000)^2)*'New Meas. with Drift Comp.'!R29)</f>
        <v>1.7502964874755329E-7</v>
      </c>
      <c r="W29" s="2">
        <f t="shared" si="1"/>
        <v>0.38461538461538464</v>
      </c>
    </row>
    <row r="30" spans="1:23" s="2" customFormat="1" x14ac:dyDescent="0.35">
      <c r="B30" s="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7"/>
      <c r="V30" s="7"/>
    </row>
    <row r="31" spans="1:23" s="2" customFormat="1" x14ac:dyDescent="0.35">
      <c r="A31" s="2">
        <v>150</v>
      </c>
      <c r="B31" s="4">
        <v>44916</v>
      </c>
      <c r="C31" s="2">
        <v>2</v>
      </c>
      <c r="D31" s="2">
        <v>302</v>
      </c>
      <c r="E31" s="2" t="s">
        <v>13</v>
      </c>
      <c r="F31" s="2" t="s">
        <v>53</v>
      </c>
      <c r="G31" s="2" t="s">
        <v>6</v>
      </c>
      <c r="H31" s="9">
        <v>0.4753</v>
      </c>
      <c r="I31" s="9">
        <v>0.4743</v>
      </c>
      <c r="J31" s="9">
        <v>0.4763</v>
      </c>
      <c r="K31" s="9">
        <v>1.15E-2</v>
      </c>
      <c r="L31" s="9">
        <v>1.0200000000000001E-2</v>
      </c>
      <c r="M31" s="9">
        <v>1.29E-2</v>
      </c>
      <c r="N31" s="9">
        <v>4.1000000000000003E-3</v>
      </c>
      <c r="O31" s="9">
        <v>3.0000000000000001E-3</v>
      </c>
      <c r="P31" s="9">
        <v>5.0000000000000001E-3</v>
      </c>
      <c r="Q31" s="9">
        <v>2.8033000000000001</v>
      </c>
      <c r="R31" s="9">
        <v>2.0432000000000001</v>
      </c>
      <c r="S31" s="9">
        <v>4.3364000000000003</v>
      </c>
      <c r="T31" s="10">
        <f xml:space="preserve"> 1/(Constants!$B$2*Constants!$B$4*(('New Meas. with Drift Comp.'!A31/1000)^2)*'New Meas. with Drift Comp.'!Q31)</f>
        <v>1.0034875021120381E-7</v>
      </c>
      <c r="U31" s="9">
        <f xml:space="preserve"> 1/(Constants!$B$2*Constants!$B$4*(('New Meas. with Drift Comp.'!A31/1000)^2)*'New Meas. with Drift Comp.'!S31)</f>
        <v>6.4871241459982406E-8</v>
      </c>
      <c r="V31" s="9">
        <f xml:space="preserve"> 1/(Constants!$B$2*Constants!$B$4*(('New Meas. with Drift Comp.'!A31/1000)^2)*'New Meas. with Drift Comp.'!R31)</f>
        <v>1.376799390500527E-7</v>
      </c>
      <c r="W31" s="2">
        <f t="shared" si="1"/>
        <v>0.35652173913043483</v>
      </c>
    </row>
    <row r="32" spans="1:23" x14ac:dyDescent="0.35">
      <c r="E32" s="5"/>
      <c r="F32" s="5"/>
      <c r="G32" s="5"/>
    </row>
    <row r="39" spans="18:18" x14ac:dyDescent="0.35">
      <c r="R39" s="6"/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4" sqref="B4"/>
    </sheetView>
  </sheetViews>
  <sheetFormatPr baseColWidth="10" defaultRowHeight="14.5" x14ac:dyDescent="0.35"/>
  <cols>
    <col min="2" max="2" width="19.6328125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18</v>
      </c>
      <c r="B2">
        <v>9.8066499999999994</v>
      </c>
      <c r="C2" t="s">
        <v>22</v>
      </c>
    </row>
    <row r="3" spans="1:3" x14ac:dyDescent="0.35">
      <c r="A3" t="s">
        <v>23</v>
      </c>
      <c r="B3">
        <v>7.8000000000000005E-7</v>
      </c>
      <c r="C3" t="s">
        <v>24</v>
      </c>
    </row>
    <row r="4" spans="1:3" x14ac:dyDescent="0.35">
      <c r="A4" t="s">
        <v>25</v>
      </c>
      <c r="B4">
        <f>4*PI()/B3</f>
        <v>16110731.556870732</v>
      </c>
      <c r="C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Old Meas. without Drift Comp</vt:lpstr>
      <vt:lpstr>Old Meas. with Drift Comp</vt:lpstr>
      <vt:lpstr>New Meas. without Drift Comp.</vt:lpstr>
      <vt:lpstr>New Meas. with Drift Comp.</vt:lpstr>
      <vt:lpstr>Constants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Célia Pelluet</cp:lastModifiedBy>
  <dcterms:created xsi:type="dcterms:W3CDTF">2021-03-31T14:44:53Z</dcterms:created>
  <dcterms:modified xsi:type="dcterms:W3CDTF">2024-06-05T16:29:11Z</dcterms:modified>
</cp:coreProperties>
</file>